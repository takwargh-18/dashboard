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งานพี่ดา 27-5-67\งานกอ\"/>
    </mc:Choice>
  </mc:AlternateContent>
  <xr:revisionPtr revIDLastSave="0" documentId="13_ncr:1_{09EC37EB-22A8-4B00-9215-939CB61C5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แผนไทย-กายภาพ เม.ย.69" sheetId="44" r:id="rId1"/>
    <sheet name="เม.ย.69" sheetId="43" r:id="rId2"/>
    <sheet name="แผนไทย-กายภาพ มี.ค.69 " sheetId="42" r:id="rId3"/>
    <sheet name="มี.ค.69" sheetId="41" r:id="rId4"/>
    <sheet name="แผนไทย-กายภาพ ก.พ.69" sheetId="40" r:id="rId5"/>
    <sheet name="ก.พ.69" sheetId="39" r:id="rId6"/>
    <sheet name="แผนไทย-กายภาพ ม.ค.69" sheetId="38" r:id="rId7"/>
    <sheet name="ม.ค.69" sheetId="37" r:id="rId8"/>
    <sheet name="แผนไทย-กายภาพ ธ.ค.68" sheetId="36" r:id="rId9"/>
    <sheet name="ธ.ค.68" sheetId="35" r:id="rId10"/>
    <sheet name="แผนไทย-กายภาพ พ.ย.68 " sheetId="34" r:id="rId11"/>
    <sheet name="พ.ย.68" sheetId="33" r:id="rId12"/>
    <sheet name="แผนไทย-กายภาพ ต.ค.68" sheetId="23" r:id="rId13"/>
    <sheet name="ต.ค.68" sheetId="32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44" l="1"/>
  <c r="C33" i="44"/>
  <c r="D18" i="44"/>
  <c r="C18" i="44"/>
  <c r="D18" i="42"/>
  <c r="C18" i="42"/>
  <c r="E33" i="42" l="1"/>
  <c r="C33" i="42"/>
  <c r="E33" i="40"/>
  <c r="C33" i="40"/>
  <c r="D18" i="40"/>
  <c r="C18" i="40"/>
  <c r="E33" i="38"/>
  <c r="C33" i="38"/>
  <c r="D18" i="38"/>
  <c r="C18" i="38"/>
  <c r="E33" i="36"/>
  <c r="C33" i="36"/>
  <c r="D18" i="36"/>
  <c r="C18" i="36"/>
  <c r="E33" i="34"/>
  <c r="C33" i="34"/>
  <c r="C18" i="34"/>
  <c r="D18" i="34"/>
</calcChain>
</file>

<file path=xl/sharedStrings.xml><?xml version="1.0" encoding="utf-8"?>
<sst xmlns="http://schemas.openxmlformats.org/spreadsheetml/2006/main" count="553" uniqueCount="144">
  <si>
    <t>รายการ</t>
  </si>
  <si>
    <t>จำนวน</t>
  </si>
  <si>
    <t>นอน ร.พ.</t>
  </si>
  <si>
    <t>ส่งต่อ</t>
  </si>
  <si>
    <t>เสียชีวิต</t>
  </si>
  <si>
    <t>ผู้รับบริการผู้ป่วยนอก</t>
  </si>
  <si>
    <t>ผู้รับบริการผู้ป่วยใน</t>
  </si>
  <si>
    <t>ผู้รับบริการผู้ป่วยอุบัติเหตุและฉุกเฉิน</t>
  </si>
  <si>
    <t>ผู้ป่วยเสียชีวิต/ชันสูตร</t>
  </si>
  <si>
    <t>ผู้ป่วย COVID-19</t>
  </si>
  <si>
    <t>ผู้ป่วยโรคไข้เลือดออก</t>
  </si>
  <si>
    <t>ผู้ป่วยส่งตัวไป รพ.ด่านช้าง</t>
  </si>
  <si>
    <t>5 อันดับโรคที่รับบริการผู้ป่วยนอก</t>
  </si>
  <si>
    <t>5 อันดับโรคที่รับบริการผู้ป่วยใน</t>
  </si>
  <si>
    <t>1. โรคความดันโลหิตสูง</t>
  </si>
  <si>
    <t>ผู้ป่วยโรคไข้มาลาเรีย</t>
  </si>
  <si>
    <t>2. โรคเบาหวาน</t>
  </si>
  <si>
    <t xml:space="preserve">คลอดบุตร </t>
  </si>
  <si>
    <t>ในเขต</t>
  </si>
  <si>
    <t>นอกเขต</t>
  </si>
  <si>
    <t>ผู้ป่วยส่งตัวไป รพ.พหลฯ/รพ.มะการักษ์</t>
  </si>
  <si>
    <t>.</t>
  </si>
  <si>
    <t>ผู้ป่วยส่งตัวไป รพ.บ่อพลอย</t>
  </si>
  <si>
    <t>3.โรคกระดูกสันหลังเสื่อม</t>
  </si>
  <si>
    <t>4.โรคไขมันในหลอดเลือด</t>
  </si>
  <si>
    <t>รายงานจำนวนผู้รับบริการกายภาพบำบัดและแพทย์แผนไทย อาคารกายภาพบำบัด</t>
  </si>
  <si>
    <t>กายภาพบำบัด</t>
  </si>
  <si>
    <t>แพทย์แผนไทยประยุกต์</t>
  </si>
  <si>
    <t>ลำดับ</t>
  </si>
  <si>
    <t>ประกันสุขภาพถ้วนหน้าแบบค่าธรรมเนียม 30 บาท</t>
  </si>
  <si>
    <t>ประกันสุขภาพถ้วนหน้าต่างจังหวัด</t>
  </si>
  <si>
    <t>อาสาสมัครสาธารณสุขหมู่บ้าน รวม(บุคคลในครอบครัว)</t>
  </si>
  <si>
    <t>ผู้มีรายได้น้อย</t>
  </si>
  <si>
    <t>ผู้สูงอายุ</t>
  </si>
  <si>
    <t>ผู้พิการ</t>
  </si>
  <si>
    <t>กองทุนประกันสังคมผู้ประกันตน</t>
  </si>
  <si>
    <t>ข้าราชการ</t>
  </si>
  <si>
    <t>ผู้นำชุมชน</t>
  </si>
  <si>
    <t>ท.99 ผู้มีปัญหาระบบสิทธิ</t>
  </si>
  <si>
    <t>รวม</t>
  </si>
  <si>
    <t>รายงานจำนวนการบริการกายภาพบำบัดและแพทย์แผนไทยประยุกต์ อาคารกายภาพบำบัด</t>
  </si>
  <si>
    <t xml:space="preserve">การดัดดึงข้อต่อ ( Manipulation and Mobilization ) </t>
  </si>
  <si>
    <t>จ่ายยาสมุนไพร</t>
  </si>
  <si>
    <t>การรักษาด้วยคลื่นเสียง ( Ultrasound Diathermy )</t>
  </si>
  <si>
    <t xml:space="preserve">การกระตุ้นด้วยกระแสไฟฟ้า (Electrical Stimulation) </t>
  </si>
  <si>
    <t>อบไอน้ำสมุนไพร</t>
  </si>
  <si>
    <t>การแช่พาราฟิน ( Parafin Bath )</t>
  </si>
  <si>
    <t xml:space="preserve">การดึงหลังด้วยเครื่อง ( Pelvic Traction ) </t>
  </si>
  <si>
    <t>การกดจุดและการนวด ( Acupressure  amd  Massage )</t>
  </si>
  <si>
    <t>การดึงคอด้วยเครื่อง ( Cervical Traction )</t>
  </si>
  <si>
    <t>Passive movement</t>
  </si>
  <si>
    <t>สอนญาติและผู้ป่วยปฏิบัติตนที่บ้าน ( Home/Ward Program )</t>
  </si>
  <si>
    <t>การประคบด้วยแผ่นความร้อน ( Hydrocollator )</t>
  </si>
  <si>
    <t>นวดและประคบสมุนไพรเพื่อบำบัด    รักษาโรค</t>
  </si>
  <si>
    <t>พอกเข่า</t>
  </si>
  <si>
    <t>ประจำเดือน ตุลาคม 2568</t>
  </si>
  <si>
    <t>ปีงบประมาณ 2569</t>
  </si>
  <si>
    <t>พระภิกษุ นักบวช</t>
  </si>
  <si>
    <t>ชุดหัตถการสำหรับแม่หลังคลอด</t>
  </si>
  <si>
    <t>1.โรคหลอดลมอักเสบ</t>
  </si>
  <si>
    <t>2.ท้องร่วงหรือภาวะอาหารเป็นพิษ</t>
  </si>
  <si>
    <t>3.ไข้หวัดใหญ่</t>
  </si>
  <si>
    <t>4. โรคปอดอุดกั้นเรื้อรังที่มีอาการกำเริบเฉียบพลัน</t>
  </si>
  <si>
    <t>5.โรคกรดไหลย้อน</t>
  </si>
  <si>
    <t>3. โรคไข้หวัด</t>
  </si>
  <si>
    <t>2,982 ครั้ง/2,698 คน</t>
  </si>
  <si>
    <t>301 ครั้ง/277 คน</t>
  </si>
  <si>
    <t>1455 ครั้ง</t>
  </si>
  <si>
    <t>0</t>
  </si>
  <si>
    <t>ข้อมูลบริการโรงพยาบาลพยาบาลสถานพระบารมี ปีงบประมาณ 2569</t>
  </si>
  <si>
    <t>ต่างด้าวขึ้นทะเบียน</t>
  </si>
  <si>
    <t>1,827 คน/2,409 ครั้ง</t>
  </si>
  <si>
    <t>227 คน/259 ครั้ง</t>
  </si>
  <si>
    <t>1,363 ครั้ง</t>
  </si>
  <si>
    <t>1 ราย</t>
  </si>
  <si>
    <t>2.ไข้หวัดใหญ่</t>
  </si>
  <si>
    <t>3. โรคปอดอุดกั้นเรื้อรังที่มีอาการกำเริบเฉียบพลัน</t>
  </si>
  <si>
    <t>4.ไข้หวัด</t>
  </si>
  <si>
    <t>5.ท้องร่วงหรือภาวะอาหารเป็นพิษ</t>
  </si>
  <si>
    <t>3. โรคเบาหวาน</t>
  </si>
  <si>
    <t>2.โรคไข้หวัด</t>
  </si>
  <si>
    <t>3.โรคกระดูกสันหลังเสื่อม/กล้ามเนื้อผิดปกติ</t>
  </si>
  <si>
    <t>ผู้ป่วยส่งตัวไป รพ.สมเด็จพระสังฆราชองค์ที่ 19</t>
  </si>
  <si>
    <t>ประจำเดือน พฤศจิกายน 2568</t>
  </si>
  <si>
    <t>238 ครั้ง/228 คน</t>
  </si>
  <si>
    <t>1,346 ครั้ง</t>
  </si>
  <si>
    <t>1/3</t>
  </si>
  <si>
    <t>2.โรคเบาหวาน</t>
  </si>
  <si>
    <t>3.ไข้หวัด</t>
  </si>
  <si>
    <t>2.โรคหลอดลมอักเสบ</t>
  </si>
  <si>
    <t>5.โรคถุงลมโป่งพอง</t>
  </si>
  <si>
    <t>1.ไข้หวัด/ไข้หวัดใหญ่</t>
  </si>
  <si>
    <t>3.โรคท้องร่วงหรือภาวะอาหารเป็นพิษ</t>
  </si>
  <si>
    <t>4.โรคกระเพาะอาหารอักเสบ</t>
  </si>
  <si>
    <t>2093 คน / 2,818 ครั้ง</t>
  </si>
  <si>
    <t>ประจำเดือน ธันวาคม 2568</t>
  </si>
  <si>
    <t>2,555 คน / 2,583 ครั้ง</t>
  </si>
  <si>
    <t>193 คน / 205 ครั้ง</t>
  </si>
  <si>
    <t>1,251 ครั้ง</t>
  </si>
  <si>
    <t>1/1</t>
  </si>
  <si>
    <t>1..โรคท้องร่วงหรือภาวะอาหารเป็นพิษ</t>
  </si>
  <si>
    <t>2.โรคถุงลมโป่งพอง</t>
  </si>
  <si>
    <t>3.โรคหลอดลมอักเสบ</t>
  </si>
  <si>
    <t>4.เวียนศีรษะ มึนงงศีรษะ</t>
  </si>
  <si>
    <t>4.โรคปอดอักเสบ</t>
  </si>
  <si>
    <t>4.โรคท้องร่วงหรือภาวะอาหารเป็นพิษ</t>
  </si>
  <si>
    <t>4.โรคถุงลมโป่งพอง</t>
  </si>
  <si>
    <t xml:space="preserve"> กุมภาพันธ์ 2569</t>
  </si>
  <si>
    <t>ประจำเดือน มกราคม 2569</t>
  </si>
  <si>
    <t>ประจำเดือน กุมภาพันธ์ 2569</t>
  </si>
  <si>
    <t>2,324 คน/3,238 ครั้ง</t>
  </si>
  <si>
    <t>1,261 ครั้ง</t>
  </si>
  <si>
    <t>ผู้ป่วยส่งตัวไป รพ.สมเด็จพระสัฆราชฯ</t>
  </si>
  <si>
    <t>1</t>
  </si>
  <si>
    <t>3.โรคไขมันในเส้นเลือดสูง</t>
  </si>
  <si>
    <t>211 ครั้ง/198 คน</t>
  </si>
  <si>
    <t>5.โรคภาวะหัวใจล้มเหลว</t>
  </si>
  <si>
    <t>4.โรคกระดูกสันหลังเสื่อม/กล้ามเนื้อผิดปกติ</t>
  </si>
  <si>
    <t>5.โรคท้องร่วงหรือภาวะอาหารเป็นพิษ</t>
  </si>
  <si>
    <t xml:space="preserve"> มีนาคม 2569</t>
  </si>
  <si>
    <t>1,242 ครั้ง</t>
  </si>
  <si>
    <t>4</t>
  </si>
  <si>
    <t>ผู้ป่วยส่งตัวไป รพ.สมเด็จพระสัฆราชฯ/บ่อพลอย</t>
  </si>
  <si>
    <t>2,009 คน/ 2,840 ครั้ง</t>
  </si>
  <si>
    <t>209 ครั้ง / 195 คน</t>
  </si>
  <si>
    <t>5.โรคไขมันในเส้นเลือดสูง</t>
  </si>
  <si>
    <t>4.โรคระบบทางเดินหายใจ (ไข้หวัด)</t>
  </si>
  <si>
    <t>3.ปวดท้อง/และอุ้งเชิงกราน</t>
  </si>
  <si>
    <t>4.กลุ่มอาการแพ้</t>
  </si>
  <si>
    <t>5.โรคภาวะหัวใจเต้นผิดจังหวะ</t>
  </si>
  <si>
    <t>ประจำเดือน มีนาคม 2569</t>
  </si>
  <si>
    <t xml:space="preserve"> เมษายน 2569</t>
  </si>
  <si>
    <t>ประจำเดือน เมษายน 2569</t>
  </si>
  <si>
    <t>2,605 คน/ 2,624 ครั้ง</t>
  </si>
  <si>
    <t>276 ครั้ง / 257 คน</t>
  </si>
  <si>
    <t>3</t>
  </si>
  <si>
    <t>2.โรคปอดอุดกลั้นเรื้อรัง</t>
  </si>
  <si>
    <t>3.โรคระบบประสาท(เวียนศีรษะ)</t>
  </si>
  <si>
    <t>5.ภาวะช็อกจากการแพ้</t>
  </si>
  <si>
    <t>1,176 ครั้ง</t>
  </si>
  <si>
    <t>2.โรคกระดูกสันหลังเสื่อม/กล้ามเนื้อผิดปกติ</t>
  </si>
  <si>
    <t>3.โรคเบาหวาน</t>
  </si>
  <si>
    <t>4.โรคไขมันในเส้นเลือดสูง</t>
  </si>
  <si>
    <t>5.โรคระบบประสาท(เวียนศีรษะ)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</si>
</sst>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b/>
      <sz val="18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6"/>
      <name val="TH SarabunPSK"/>
      <family val="2"/>
    </font>
    <font>
      <b/>
      <sz val="14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A9A3F5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EDE7C0"/>
        <bgColor indexed="64"/>
      </patternFill>
    </fill>
    <fill>
      <patternFill patternType="solid">
        <fgColor rgb="FF00A551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5" fillId="0" borderId="9" xfId="0" applyFont="1" applyBorder="1"/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5" fillId="0" borderId="10" xfId="0" applyFont="1" applyBorder="1"/>
    <xf numFmtId="0" fontId="4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1" xfId="0" applyFont="1" applyBorder="1"/>
    <xf numFmtId="0" fontId="5" fillId="0" borderId="7" xfId="0" applyFont="1" applyBorder="1"/>
    <xf numFmtId="17" fontId="4" fillId="4" borderId="6" xfId="0" applyNumberFormat="1" applyFont="1" applyFill="1" applyBorder="1" applyAlignment="1">
      <alignment horizontal="center"/>
    </xf>
    <xf numFmtId="0" fontId="7" fillId="0" borderId="4" xfId="0" applyFont="1" applyBorder="1"/>
    <xf numFmtId="0" fontId="8" fillId="0" borderId="6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CA2E-A659-44BE-81DB-2F70347039D4}">
  <dimension ref="A1:E33"/>
  <sheetViews>
    <sheetView tabSelected="1" zoomScale="102" zoomScaleNormal="102" workbookViewId="0">
      <selection activeCell="H6" sqref="H6:H7"/>
    </sheetView>
  </sheetViews>
  <sheetFormatPr defaultRowHeight="13.8" x14ac:dyDescent="0.25"/>
  <cols>
    <col min="1" max="1" width="5.19921875" bestFit="1" customWidth="1"/>
    <col min="2" max="2" width="36.09765625" bestFit="1" customWidth="1"/>
    <col min="3" max="3" width="10.8984375" customWidth="1"/>
    <col min="4" max="4" width="25.3984375" customWidth="1"/>
    <col min="5" max="5" width="18.19921875" bestFit="1" customWidth="1"/>
  </cols>
  <sheetData>
    <row r="1" spans="1:4" ht="23.4" x14ac:dyDescent="0.25">
      <c r="A1" s="50" t="s">
        <v>25</v>
      </c>
      <c r="B1" s="50"/>
      <c r="C1" s="50"/>
      <c r="D1" s="50"/>
    </row>
    <row r="2" spans="1:4" ht="21" x14ac:dyDescent="0.4">
      <c r="A2" s="11"/>
      <c r="B2" s="9"/>
      <c r="C2" s="9"/>
      <c r="D2" s="9"/>
    </row>
    <row r="3" spans="1:4" ht="21" x14ac:dyDescent="0.4">
      <c r="A3" s="11"/>
      <c r="B3" s="12" t="s">
        <v>56</v>
      </c>
      <c r="C3" s="10"/>
      <c r="D3" s="10"/>
    </row>
    <row r="4" spans="1:4" ht="21" x14ac:dyDescent="0.4">
      <c r="A4" s="11"/>
      <c r="B4" s="36" t="s">
        <v>131</v>
      </c>
      <c r="C4" s="51" t="s">
        <v>26</v>
      </c>
      <c r="D4" s="53" t="s">
        <v>27</v>
      </c>
    </row>
    <row r="5" spans="1:4" ht="21" x14ac:dyDescent="0.4">
      <c r="A5" s="13" t="s">
        <v>28</v>
      </c>
      <c r="B5" s="14" t="s">
        <v>0</v>
      </c>
      <c r="C5" s="52"/>
      <c r="D5" s="54"/>
    </row>
    <row r="6" spans="1:4" ht="18" x14ac:dyDescent="0.35">
      <c r="A6" s="15">
        <v>1</v>
      </c>
      <c r="B6" s="16" t="s">
        <v>29</v>
      </c>
      <c r="C6" s="41">
        <v>31</v>
      </c>
      <c r="D6" s="18">
        <v>19</v>
      </c>
    </row>
    <row r="7" spans="1:4" ht="18" x14ac:dyDescent="0.35">
      <c r="A7" s="15">
        <v>2</v>
      </c>
      <c r="B7" s="16" t="s">
        <v>30</v>
      </c>
      <c r="C7" s="41">
        <v>16</v>
      </c>
      <c r="D7" s="18">
        <v>4</v>
      </c>
    </row>
    <row r="8" spans="1:4" ht="18" x14ac:dyDescent="0.35">
      <c r="A8" s="15">
        <v>3</v>
      </c>
      <c r="B8" s="19" t="s">
        <v>31</v>
      </c>
      <c r="C8" s="41">
        <v>26</v>
      </c>
      <c r="D8" s="18">
        <v>9</v>
      </c>
    </row>
    <row r="9" spans="1:4" ht="18" x14ac:dyDescent="0.35">
      <c r="A9" s="15">
        <v>4</v>
      </c>
      <c r="B9" s="16" t="s">
        <v>32</v>
      </c>
      <c r="C9" s="41">
        <v>10</v>
      </c>
      <c r="D9" s="18">
        <v>9</v>
      </c>
    </row>
    <row r="10" spans="1:4" ht="18" x14ac:dyDescent="0.35">
      <c r="A10" s="15">
        <v>5</v>
      </c>
      <c r="B10" s="16" t="s">
        <v>33</v>
      </c>
      <c r="C10" s="41">
        <v>41</v>
      </c>
      <c r="D10" s="18">
        <v>23</v>
      </c>
    </row>
    <row r="11" spans="1:4" ht="18" x14ac:dyDescent="0.35">
      <c r="A11" s="15">
        <v>6</v>
      </c>
      <c r="B11" s="16" t="s">
        <v>34</v>
      </c>
      <c r="C11" s="41">
        <v>4</v>
      </c>
      <c r="D11" s="18">
        <v>0</v>
      </c>
    </row>
    <row r="12" spans="1:4" ht="18" x14ac:dyDescent="0.35">
      <c r="A12" s="15">
        <v>7</v>
      </c>
      <c r="B12" s="16" t="s">
        <v>35</v>
      </c>
      <c r="C12" s="41">
        <v>7</v>
      </c>
      <c r="D12" s="18">
        <v>0</v>
      </c>
    </row>
    <row r="13" spans="1:4" ht="18" x14ac:dyDescent="0.35">
      <c r="A13" s="15">
        <v>8</v>
      </c>
      <c r="B13" s="16" t="s">
        <v>36</v>
      </c>
      <c r="C13" s="41">
        <v>57</v>
      </c>
      <c r="D13" s="18">
        <v>48</v>
      </c>
    </row>
    <row r="14" spans="1:4" ht="18" x14ac:dyDescent="0.35">
      <c r="A14" s="15">
        <v>9</v>
      </c>
      <c r="B14" s="16" t="s">
        <v>37</v>
      </c>
      <c r="C14" s="41">
        <v>0</v>
      </c>
      <c r="D14" s="18">
        <v>0</v>
      </c>
    </row>
    <row r="15" spans="1:4" ht="18" x14ac:dyDescent="0.35">
      <c r="A15" s="15">
        <v>10</v>
      </c>
      <c r="B15" s="16" t="s">
        <v>38</v>
      </c>
      <c r="C15" s="41">
        <v>0</v>
      </c>
      <c r="D15" s="18">
        <v>0</v>
      </c>
    </row>
    <row r="16" spans="1:4" ht="18" x14ac:dyDescent="0.35">
      <c r="A16" s="21">
        <v>11</v>
      </c>
      <c r="B16" s="37" t="s">
        <v>70</v>
      </c>
      <c r="C16" s="41">
        <v>0</v>
      </c>
      <c r="D16" s="18">
        <v>0</v>
      </c>
    </row>
    <row r="17" spans="1:5" ht="21" x14ac:dyDescent="0.35">
      <c r="A17" s="21">
        <v>12</v>
      </c>
      <c r="B17" s="37" t="s">
        <v>57</v>
      </c>
      <c r="C17" s="41">
        <v>0</v>
      </c>
      <c r="D17" s="26">
        <v>1</v>
      </c>
    </row>
    <row r="18" spans="1:5" ht="21" x14ac:dyDescent="0.25">
      <c r="A18" s="48" t="s">
        <v>39</v>
      </c>
      <c r="B18" s="49"/>
      <c r="C18" s="62">
        <f>SUM(C6:C17)</f>
        <v>192</v>
      </c>
      <c r="D18" s="63">
        <f>SUM(D6:D17)</f>
        <v>113</v>
      </c>
    </row>
    <row r="19" spans="1:5" ht="23.4" x14ac:dyDescent="0.25">
      <c r="A19" s="50" t="s">
        <v>40</v>
      </c>
      <c r="B19" s="55"/>
      <c r="C19" s="55"/>
      <c r="D19" s="55"/>
      <c r="E19" s="55"/>
    </row>
    <row r="20" spans="1:5" ht="21" x14ac:dyDescent="0.4">
      <c r="A20" s="7"/>
      <c r="B20" s="12" t="s">
        <v>56</v>
      </c>
      <c r="C20" s="10"/>
      <c r="D20" s="10"/>
      <c r="E20" s="10"/>
    </row>
    <row r="21" spans="1:5" ht="21" x14ac:dyDescent="0.4">
      <c r="A21" s="7"/>
      <c r="B21" s="36" t="s">
        <v>131</v>
      </c>
      <c r="C21" s="56" t="s">
        <v>26</v>
      </c>
      <c r="D21" s="57" t="s">
        <v>0</v>
      </c>
      <c r="E21" s="53" t="s">
        <v>27</v>
      </c>
    </row>
    <row r="22" spans="1:5" ht="21" x14ac:dyDescent="0.4">
      <c r="A22" s="23" t="s">
        <v>28</v>
      </c>
      <c r="B22" s="23" t="s">
        <v>0</v>
      </c>
      <c r="C22" s="51"/>
      <c r="D22" s="58"/>
      <c r="E22" s="59"/>
    </row>
    <row r="23" spans="1:5" ht="36" x14ac:dyDescent="0.35">
      <c r="A23" s="15">
        <v>1</v>
      </c>
      <c r="B23" s="24" t="s">
        <v>41</v>
      </c>
      <c r="C23" s="25">
        <v>177</v>
      </c>
      <c r="D23" s="33" t="s">
        <v>42</v>
      </c>
      <c r="E23" s="18">
        <v>76</v>
      </c>
    </row>
    <row r="24" spans="1:5" ht="36" x14ac:dyDescent="0.35">
      <c r="A24" s="15">
        <v>2</v>
      </c>
      <c r="B24" s="24" t="s">
        <v>43</v>
      </c>
      <c r="C24" s="25">
        <v>168</v>
      </c>
      <c r="D24" s="33" t="s">
        <v>53</v>
      </c>
      <c r="E24" s="18">
        <v>111</v>
      </c>
    </row>
    <row r="25" spans="1:5" ht="18" x14ac:dyDescent="0.35">
      <c r="A25" s="15">
        <v>3</v>
      </c>
      <c r="B25" s="24" t="s">
        <v>44</v>
      </c>
      <c r="C25" s="27">
        <v>32</v>
      </c>
      <c r="D25" s="34" t="s">
        <v>45</v>
      </c>
      <c r="E25" s="18">
        <v>52</v>
      </c>
    </row>
    <row r="26" spans="1:5" ht="21" x14ac:dyDescent="0.4">
      <c r="A26" s="15">
        <v>4</v>
      </c>
      <c r="B26" s="24" t="s">
        <v>46</v>
      </c>
      <c r="C26" s="27">
        <v>10</v>
      </c>
      <c r="D26" s="3" t="s">
        <v>54</v>
      </c>
      <c r="E26" s="41">
        <v>2</v>
      </c>
    </row>
    <row r="27" spans="1:5" ht="21" x14ac:dyDescent="0.4">
      <c r="A27" s="15">
        <v>5</v>
      </c>
      <c r="B27" s="24" t="s">
        <v>47</v>
      </c>
      <c r="C27" s="27">
        <v>150</v>
      </c>
      <c r="D27" s="3" t="s">
        <v>58</v>
      </c>
      <c r="E27" s="27">
        <v>0</v>
      </c>
    </row>
    <row r="28" spans="1:5" ht="36" x14ac:dyDescent="0.35">
      <c r="A28" s="15">
        <v>6</v>
      </c>
      <c r="B28" s="24" t="s">
        <v>48</v>
      </c>
      <c r="C28" s="27">
        <v>162</v>
      </c>
      <c r="D28" s="28"/>
      <c r="E28" s="35"/>
    </row>
    <row r="29" spans="1:5" ht="18" x14ac:dyDescent="0.35">
      <c r="A29" s="15">
        <v>7</v>
      </c>
      <c r="B29" s="24" t="s">
        <v>49</v>
      </c>
      <c r="C29" s="27">
        <v>9</v>
      </c>
      <c r="D29" s="28"/>
      <c r="E29" s="29"/>
    </row>
    <row r="30" spans="1:5" ht="18" x14ac:dyDescent="0.35">
      <c r="A30" s="15">
        <v>8</v>
      </c>
      <c r="B30" s="24" t="s">
        <v>50</v>
      </c>
      <c r="C30" s="27">
        <v>75</v>
      </c>
      <c r="D30" s="28"/>
      <c r="E30" s="29"/>
    </row>
    <row r="31" spans="1:5" ht="36" x14ac:dyDescent="0.35">
      <c r="A31" s="15">
        <v>9</v>
      </c>
      <c r="B31" s="24" t="s">
        <v>51</v>
      </c>
      <c r="C31" s="27">
        <v>165</v>
      </c>
      <c r="D31" s="28"/>
      <c r="E31" s="29"/>
    </row>
    <row r="32" spans="1:5" ht="18" x14ac:dyDescent="0.35">
      <c r="A32" s="15">
        <v>10</v>
      </c>
      <c r="B32" s="24" t="s">
        <v>52</v>
      </c>
      <c r="C32" s="38">
        <v>146</v>
      </c>
      <c r="D32" s="28"/>
      <c r="E32" s="29"/>
    </row>
    <row r="33" spans="1:5" ht="21" x14ac:dyDescent="0.35">
      <c r="A33" s="48" t="s">
        <v>39</v>
      </c>
      <c r="B33" s="49"/>
      <c r="C33" s="30">
        <f>SUM(C23:C32)</f>
        <v>1094</v>
      </c>
      <c r="D33" s="31"/>
      <c r="E33" s="32">
        <f>SUM(E23:E32)</f>
        <v>241</v>
      </c>
    </row>
  </sheetData>
  <mergeCells count="9">
    <mergeCell ref="A33:B33"/>
    <mergeCell ref="A1:D1"/>
    <mergeCell ref="C4:C5"/>
    <mergeCell ref="D4:D5"/>
    <mergeCell ref="A18:B18"/>
    <mergeCell ref="A19:E19"/>
    <mergeCell ref="C21:C22"/>
    <mergeCell ref="D21:D22"/>
    <mergeCell ref="E21:E22"/>
  </mergeCells>
  <pageMargins left="0.11811023622047245" right="0.11811023622047245" top="0.15748031496062992" bottom="0.15748031496062992" header="0.31496062992125984" footer="0.31496062992125984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E642-7E63-4D81-9FDE-9AB514D6ACA2}">
  <dimension ref="A1:K27"/>
  <sheetViews>
    <sheetView workbookViewId="0">
      <selection activeCell="M18" sqref="M18"/>
    </sheetView>
  </sheetViews>
  <sheetFormatPr defaultRowHeight="21" x14ac:dyDescent="0.4"/>
  <cols>
    <col min="1" max="1" width="32.09765625" style="1" customWidth="1"/>
    <col min="2" max="2" width="18.8984375" style="1" customWidth="1"/>
    <col min="3" max="3" width="7.59765625" style="1" bestFit="1" customWidth="1"/>
    <col min="4" max="4" width="9.09765625" style="1" customWidth="1"/>
    <col min="5" max="5" width="8.5" style="1" customWidth="1"/>
    <col min="6" max="6" width="7.5" style="1" customWidth="1"/>
    <col min="7" max="7" width="10" style="1" customWidth="1"/>
    <col min="8" max="16384" width="8.796875" style="1"/>
  </cols>
  <sheetData>
    <row r="1" spans="1:7" x14ac:dyDescent="0.4">
      <c r="A1" s="42" t="s">
        <v>69</v>
      </c>
      <c r="B1" s="42"/>
      <c r="C1" s="42"/>
      <c r="D1" s="42"/>
      <c r="E1" s="42"/>
      <c r="F1" s="7"/>
      <c r="G1" s="7"/>
    </row>
    <row r="2" spans="1:7" x14ac:dyDescent="0.4">
      <c r="A2" s="42" t="s">
        <v>132</v>
      </c>
      <c r="B2" s="42"/>
      <c r="C2" s="42"/>
      <c r="D2" s="42"/>
      <c r="E2" s="42"/>
      <c r="F2" s="7"/>
      <c r="G2" s="7"/>
    </row>
    <row r="3" spans="1:7" x14ac:dyDescent="0.4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18</v>
      </c>
      <c r="G3" s="8" t="s">
        <v>19</v>
      </c>
    </row>
    <row r="4" spans="1:7" x14ac:dyDescent="0.4">
      <c r="A4" s="3" t="s">
        <v>5</v>
      </c>
      <c r="B4" s="40" t="s">
        <v>133</v>
      </c>
      <c r="C4" s="3"/>
      <c r="D4" s="3"/>
      <c r="E4" s="3"/>
      <c r="F4" s="3"/>
      <c r="G4" s="3"/>
    </row>
    <row r="5" spans="1:7" x14ac:dyDescent="0.4">
      <c r="A5" s="3" t="s">
        <v>6</v>
      </c>
      <c r="B5" s="2" t="s">
        <v>134</v>
      </c>
      <c r="C5" s="3"/>
      <c r="D5" s="3"/>
      <c r="E5" s="3"/>
      <c r="F5" s="3"/>
      <c r="G5" s="3"/>
    </row>
    <row r="6" spans="1:7" x14ac:dyDescent="0.4">
      <c r="A6" s="3" t="s">
        <v>7</v>
      </c>
      <c r="B6" s="61" t="s">
        <v>139</v>
      </c>
      <c r="C6" s="3"/>
      <c r="D6" s="3"/>
      <c r="E6" s="3"/>
      <c r="F6" s="3"/>
      <c r="G6" s="3"/>
    </row>
    <row r="7" spans="1:7" x14ac:dyDescent="0.4">
      <c r="A7" s="3" t="s">
        <v>8</v>
      </c>
      <c r="B7" s="4" t="s">
        <v>135</v>
      </c>
      <c r="C7" s="3"/>
      <c r="D7" s="3"/>
      <c r="E7" s="3"/>
      <c r="F7" s="3"/>
      <c r="G7" s="3"/>
    </row>
    <row r="8" spans="1:7" x14ac:dyDescent="0.4">
      <c r="A8" s="3" t="s">
        <v>10</v>
      </c>
      <c r="B8" s="60">
        <v>0</v>
      </c>
      <c r="C8" s="2"/>
      <c r="D8" s="2"/>
      <c r="E8" s="2"/>
      <c r="F8" s="2"/>
      <c r="G8" s="2"/>
    </row>
    <row r="9" spans="1:7" x14ac:dyDescent="0.4">
      <c r="A9" s="3" t="s">
        <v>15</v>
      </c>
      <c r="B9" s="60">
        <v>4</v>
      </c>
      <c r="C9" s="2">
        <v>3</v>
      </c>
      <c r="D9" s="2">
        <v>0</v>
      </c>
      <c r="E9" s="2">
        <v>0</v>
      </c>
      <c r="F9" s="2">
        <v>0</v>
      </c>
      <c r="G9" s="2">
        <v>4</v>
      </c>
    </row>
    <row r="10" spans="1:7" x14ac:dyDescent="0.4">
      <c r="A10" s="3" t="s">
        <v>20</v>
      </c>
      <c r="B10" s="2">
        <v>77</v>
      </c>
      <c r="C10" s="3"/>
      <c r="D10" s="3"/>
      <c r="E10" s="3"/>
      <c r="F10" s="2"/>
      <c r="G10" s="3"/>
    </row>
    <row r="11" spans="1:7" x14ac:dyDescent="0.4">
      <c r="A11" s="3" t="s">
        <v>11</v>
      </c>
      <c r="B11" s="2">
        <v>12</v>
      </c>
      <c r="C11" s="3"/>
      <c r="D11" s="3"/>
      <c r="E11" s="3"/>
      <c r="F11" s="3"/>
      <c r="G11" s="3"/>
    </row>
    <row r="12" spans="1:7" x14ac:dyDescent="0.4">
      <c r="A12" s="34" t="s">
        <v>122</v>
      </c>
      <c r="B12" s="2">
        <v>1</v>
      </c>
      <c r="C12" s="3"/>
      <c r="D12" s="3"/>
      <c r="E12" s="3"/>
      <c r="F12" s="3"/>
      <c r="G12" s="3"/>
    </row>
    <row r="13" spans="1:7" x14ac:dyDescent="0.4">
      <c r="A13" s="3" t="s">
        <v>17</v>
      </c>
      <c r="B13" s="39">
        <v>2</v>
      </c>
      <c r="C13" s="3"/>
      <c r="D13" s="3"/>
      <c r="E13" s="3"/>
      <c r="F13" s="3"/>
      <c r="G13" s="3"/>
    </row>
    <row r="14" spans="1:7" x14ac:dyDescent="0.4">
      <c r="A14" s="43" t="s">
        <v>12</v>
      </c>
      <c r="B14" s="44"/>
      <c r="C14" s="44"/>
      <c r="D14" s="44"/>
      <c r="E14" s="44"/>
      <c r="F14" s="44"/>
      <c r="G14" s="45"/>
    </row>
    <row r="15" spans="1:7" x14ac:dyDescent="0.4">
      <c r="A15" s="3" t="s">
        <v>14</v>
      </c>
      <c r="B15" s="2">
        <v>400</v>
      </c>
      <c r="C15" s="3"/>
      <c r="D15" s="3"/>
      <c r="E15" s="3"/>
      <c r="F15" s="3"/>
      <c r="G15" s="3"/>
    </row>
    <row r="16" spans="1:7" x14ac:dyDescent="0.4">
      <c r="A16" s="3" t="s">
        <v>140</v>
      </c>
      <c r="B16" s="2">
        <v>177</v>
      </c>
      <c r="C16" s="3"/>
      <c r="D16" s="3"/>
      <c r="E16" s="3"/>
      <c r="F16" s="3"/>
      <c r="G16" s="3"/>
    </row>
    <row r="17" spans="1:11" x14ac:dyDescent="0.4">
      <c r="A17" s="3" t="s">
        <v>141</v>
      </c>
      <c r="B17" s="2">
        <v>174</v>
      </c>
      <c r="C17" s="3"/>
      <c r="D17" s="3"/>
      <c r="E17" s="3"/>
      <c r="F17" s="3"/>
      <c r="G17" s="3"/>
    </row>
    <row r="18" spans="1:11" x14ac:dyDescent="0.4">
      <c r="A18" s="3" t="s">
        <v>142</v>
      </c>
      <c r="B18" s="2">
        <v>53</v>
      </c>
      <c r="C18" s="3"/>
      <c r="D18" s="3"/>
      <c r="E18" s="3"/>
      <c r="F18" s="3"/>
      <c r="G18" s="3"/>
    </row>
    <row r="19" spans="1:11" x14ac:dyDescent="0.4">
      <c r="A19" s="3" t="s">
        <v>143</v>
      </c>
      <c r="B19" s="2">
        <v>47</v>
      </c>
      <c r="C19" s="3"/>
      <c r="D19" s="3"/>
      <c r="E19" s="3"/>
      <c r="F19" s="3"/>
      <c r="G19" s="3"/>
    </row>
    <row r="20" spans="1:11" x14ac:dyDescent="0.4">
      <c r="A20" s="43" t="s">
        <v>13</v>
      </c>
      <c r="B20" s="44"/>
      <c r="C20" s="44"/>
      <c r="D20" s="44"/>
      <c r="E20" s="44"/>
      <c r="F20" s="44"/>
      <c r="G20" s="45"/>
      <c r="K20" s="1" t="s">
        <v>21</v>
      </c>
    </row>
    <row r="21" spans="1:11" x14ac:dyDescent="0.4">
      <c r="A21" s="3" t="s">
        <v>100</v>
      </c>
      <c r="B21" s="2">
        <v>26</v>
      </c>
      <c r="C21" s="3"/>
      <c r="D21" s="3"/>
      <c r="E21" s="3"/>
      <c r="F21" s="3"/>
      <c r="G21" s="3"/>
    </row>
    <row r="22" spans="1:11" x14ac:dyDescent="0.4">
      <c r="A22" s="3" t="s">
        <v>136</v>
      </c>
      <c r="B22" s="2">
        <v>15</v>
      </c>
      <c r="C22" s="3"/>
      <c r="D22" s="3"/>
      <c r="E22" s="3"/>
      <c r="F22" s="3"/>
      <c r="G22" s="3"/>
    </row>
    <row r="23" spans="1:11" x14ac:dyDescent="0.4">
      <c r="A23" s="3" t="s">
        <v>137</v>
      </c>
      <c r="B23" s="2">
        <v>11</v>
      </c>
      <c r="C23" s="3"/>
      <c r="D23" s="3"/>
      <c r="E23" s="3"/>
      <c r="F23" s="3"/>
      <c r="G23" s="3"/>
    </row>
    <row r="24" spans="1:11" x14ac:dyDescent="0.4">
      <c r="A24" s="3" t="s">
        <v>104</v>
      </c>
      <c r="B24" s="2">
        <v>9</v>
      </c>
      <c r="C24" s="3"/>
      <c r="D24" s="3"/>
      <c r="E24" s="3"/>
      <c r="F24" s="3"/>
      <c r="G24" s="3"/>
    </row>
    <row r="25" spans="1:11" x14ac:dyDescent="0.4">
      <c r="A25" s="3" t="s">
        <v>138</v>
      </c>
      <c r="B25" s="2">
        <v>8</v>
      </c>
      <c r="C25" s="3"/>
      <c r="D25" s="3"/>
      <c r="E25" s="3"/>
      <c r="F25" s="3"/>
      <c r="G25" s="3"/>
    </row>
    <row r="26" spans="1:11" x14ac:dyDescent="0.4">
      <c r="A26" s="46"/>
      <c r="B26" s="46"/>
      <c r="C26" s="46"/>
      <c r="D26" s="46"/>
      <c r="E26" s="46"/>
    </row>
    <row r="27" spans="1:11" x14ac:dyDescent="0.4">
      <c r="A27" s="47"/>
      <c r="B27" s="47"/>
      <c r="C27" s="47"/>
      <c r="D27" s="47"/>
      <c r="E27" s="47"/>
    </row>
  </sheetData>
  <mergeCells count="6">
    <mergeCell ref="A27:E27"/>
    <mergeCell ref="A1:E1"/>
    <mergeCell ref="A2:E2"/>
    <mergeCell ref="A14:G14"/>
    <mergeCell ref="A20:G20"/>
    <mergeCell ref="A26:E26"/>
  </mergeCells>
  <pageMargins left="0.43307086614173229" right="0.23622047244094491" top="0.74803149606299213" bottom="0.74803149606299213" header="0.31496062992125984" footer="0.31496062992125984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9B26-4668-4C8C-B934-82B7968D27F2}">
  <dimension ref="A1:E33"/>
  <sheetViews>
    <sheetView zoomScale="102" zoomScaleNormal="102" workbookViewId="0">
      <selection activeCell="E23" sqref="E23:E27"/>
    </sheetView>
  </sheetViews>
  <sheetFormatPr defaultRowHeight="13.8" x14ac:dyDescent="0.25"/>
  <cols>
    <col min="1" max="1" width="5.19921875" bestFit="1" customWidth="1"/>
    <col min="2" max="2" width="36.09765625" bestFit="1" customWidth="1"/>
    <col min="3" max="3" width="10.8984375" customWidth="1"/>
    <col min="4" max="4" width="25.3984375" customWidth="1"/>
    <col min="5" max="5" width="18.19921875" bestFit="1" customWidth="1"/>
  </cols>
  <sheetData>
    <row r="1" spans="1:4" ht="23.4" x14ac:dyDescent="0.25">
      <c r="A1" s="50" t="s">
        <v>25</v>
      </c>
      <c r="B1" s="50"/>
      <c r="C1" s="50"/>
      <c r="D1" s="50"/>
    </row>
    <row r="2" spans="1:4" ht="21" x14ac:dyDescent="0.4">
      <c r="A2" s="11"/>
      <c r="B2" s="9"/>
      <c r="C2" s="9"/>
      <c r="D2" s="9"/>
    </row>
    <row r="3" spans="1:4" ht="21" x14ac:dyDescent="0.4">
      <c r="A3" s="11"/>
      <c r="B3" s="12" t="s">
        <v>56</v>
      </c>
      <c r="C3" s="10"/>
      <c r="D3" s="10"/>
    </row>
    <row r="4" spans="1:4" ht="21" x14ac:dyDescent="0.4">
      <c r="A4" s="11"/>
      <c r="B4" s="36" t="s">
        <v>119</v>
      </c>
      <c r="C4" s="51" t="s">
        <v>26</v>
      </c>
      <c r="D4" s="53" t="s">
        <v>27</v>
      </c>
    </row>
    <row r="5" spans="1:4" ht="21" x14ac:dyDescent="0.4">
      <c r="A5" s="13" t="s">
        <v>28</v>
      </c>
      <c r="B5" s="14" t="s">
        <v>0</v>
      </c>
      <c r="C5" s="52"/>
      <c r="D5" s="54"/>
    </row>
    <row r="6" spans="1:4" ht="18" x14ac:dyDescent="0.35">
      <c r="A6" s="15">
        <v>1</v>
      </c>
      <c r="B6" s="16" t="s">
        <v>29</v>
      </c>
      <c r="C6" s="41">
        <v>37</v>
      </c>
      <c r="D6" s="18">
        <v>10</v>
      </c>
    </row>
    <row r="7" spans="1:4" ht="18" x14ac:dyDescent="0.35">
      <c r="A7" s="15">
        <v>2</v>
      </c>
      <c r="B7" s="16" t="s">
        <v>30</v>
      </c>
      <c r="C7" s="41">
        <v>24</v>
      </c>
      <c r="D7" s="18">
        <v>3</v>
      </c>
    </row>
    <row r="8" spans="1:4" ht="18" x14ac:dyDescent="0.35">
      <c r="A8" s="15">
        <v>3</v>
      </c>
      <c r="B8" s="19" t="s">
        <v>31</v>
      </c>
      <c r="C8" s="41">
        <v>26</v>
      </c>
      <c r="D8" s="18">
        <v>8</v>
      </c>
    </row>
    <row r="9" spans="1:4" ht="18" x14ac:dyDescent="0.35">
      <c r="A9" s="15">
        <v>4</v>
      </c>
      <c r="B9" s="16" t="s">
        <v>32</v>
      </c>
      <c r="C9" s="41">
        <v>16</v>
      </c>
      <c r="D9" s="18">
        <v>13</v>
      </c>
    </row>
    <row r="10" spans="1:4" ht="18" x14ac:dyDescent="0.35">
      <c r="A10" s="15">
        <v>5</v>
      </c>
      <c r="B10" s="16" t="s">
        <v>33</v>
      </c>
      <c r="C10" s="41">
        <v>55</v>
      </c>
      <c r="D10" s="18">
        <v>25</v>
      </c>
    </row>
    <row r="11" spans="1:4" ht="18" x14ac:dyDescent="0.35">
      <c r="A11" s="15">
        <v>6</v>
      </c>
      <c r="B11" s="16" t="s">
        <v>34</v>
      </c>
      <c r="C11" s="41">
        <v>7</v>
      </c>
      <c r="D11" s="18">
        <v>1</v>
      </c>
    </row>
    <row r="12" spans="1:4" ht="18" x14ac:dyDescent="0.35">
      <c r="A12" s="15">
        <v>7</v>
      </c>
      <c r="B12" s="16" t="s">
        <v>35</v>
      </c>
      <c r="C12" s="41">
        <v>15</v>
      </c>
      <c r="D12" s="18">
        <v>7</v>
      </c>
    </row>
    <row r="13" spans="1:4" ht="18" x14ac:dyDescent="0.35">
      <c r="A13" s="15">
        <v>8</v>
      </c>
      <c r="B13" s="16" t="s">
        <v>36</v>
      </c>
      <c r="C13" s="41">
        <v>82</v>
      </c>
      <c r="D13" s="18">
        <v>67</v>
      </c>
    </row>
    <row r="14" spans="1:4" ht="18" x14ac:dyDescent="0.35">
      <c r="A14" s="15">
        <v>9</v>
      </c>
      <c r="B14" s="16" t="s">
        <v>37</v>
      </c>
      <c r="C14" s="41">
        <v>4</v>
      </c>
      <c r="D14" s="18"/>
    </row>
    <row r="15" spans="1:4" ht="18" x14ac:dyDescent="0.35">
      <c r="A15" s="15">
        <v>10</v>
      </c>
      <c r="B15" s="16" t="s">
        <v>38</v>
      </c>
      <c r="C15" s="41"/>
      <c r="D15" s="18"/>
    </row>
    <row r="16" spans="1:4" ht="18" x14ac:dyDescent="0.35">
      <c r="A16" s="21">
        <v>11</v>
      </c>
      <c r="B16" s="37" t="s">
        <v>70</v>
      </c>
      <c r="C16" s="41"/>
      <c r="D16" s="18"/>
    </row>
    <row r="17" spans="1:5" ht="21" x14ac:dyDescent="0.35">
      <c r="A17" s="21">
        <v>12</v>
      </c>
      <c r="B17" s="37" t="s">
        <v>57</v>
      </c>
      <c r="C17" s="41"/>
      <c r="D17" s="26"/>
    </row>
    <row r="18" spans="1:5" ht="21" x14ac:dyDescent="0.25">
      <c r="A18" s="48" t="s">
        <v>39</v>
      </c>
      <c r="B18" s="49"/>
      <c r="C18" s="17">
        <f>SUM(C6:C17)</f>
        <v>266</v>
      </c>
      <c r="D18" s="18">
        <f>SUM(D6:D17)</f>
        <v>134</v>
      </c>
    </row>
    <row r="19" spans="1:5" ht="23.4" x14ac:dyDescent="0.25">
      <c r="A19" s="50" t="s">
        <v>40</v>
      </c>
      <c r="B19" s="55"/>
      <c r="C19" s="55"/>
      <c r="D19" s="55"/>
      <c r="E19" s="55"/>
    </row>
    <row r="20" spans="1:5" ht="21" x14ac:dyDescent="0.4">
      <c r="A20" s="7"/>
      <c r="B20" s="12" t="s">
        <v>56</v>
      </c>
      <c r="C20" s="10"/>
      <c r="D20" s="10"/>
      <c r="E20" s="10"/>
    </row>
    <row r="21" spans="1:5" ht="21" x14ac:dyDescent="0.4">
      <c r="A21" s="7"/>
      <c r="B21" s="36" t="s">
        <v>119</v>
      </c>
      <c r="C21" s="56" t="s">
        <v>26</v>
      </c>
      <c r="D21" s="57" t="s">
        <v>0</v>
      </c>
      <c r="E21" s="53" t="s">
        <v>27</v>
      </c>
    </row>
    <row r="22" spans="1:5" ht="21" x14ac:dyDescent="0.4">
      <c r="A22" s="23" t="s">
        <v>28</v>
      </c>
      <c r="B22" s="23" t="s">
        <v>0</v>
      </c>
      <c r="C22" s="51"/>
      <c r="D22" s="58"/>
      <c r="E22" s="59"/>
    </row>
    <row r="23" spans="1:5" ht="36" x14ac:dyDescent="0.35">
      <c r="A23" s="15">
        <v>1</v>
      </c>
      <c r="B23" s="24" t="s">
        <v>41</v>
      </c>
      <c r="C23" s="25">
        <v>252</v>
      </c>
      <c r="D23" s="33" t="s">
        <v>42</v>
      </c>
      <c r="E23" s="18">
        <v>118</v>
      </c>
    </row>
    <row r="24" spans="1:5" ht="36" x14ac:dyDescent="0.35">
      <c r="A24" s="15">
        <v>2</v>
      </c>
      <c r="B24" s="24" t="s">
        <v>43</v>
      </c>
      <c r="C24" s="25">
        <v>254</v>
      </c>
      <c r="D24" s="33" t="s">
        <v>53</v>
      </c>
      <c r="E24" s="18">
        <v>138</v>
      </c>
    </row>
    <row r="25" spans="1:5" ht="18" x14ac:dyDescent="0.35">
      <c r="A25" s="15">
        <v>3</v>
      </c>
      <c r="B25" s="24" t="s">
        <v>44</v>
      </c>
      <c r="C25" s="27">
        <v>68</v>
      </c>
      <c r="D25" s="34" t="s">
        <v>45</v>
      </c>
      <c r="E25" s="18">
        <v>85</v>
      </c>
    </row>
    <row r="26" spans="1:5" ht="21" x14ac:dyDescent="0.4">
      <c r="A26" s="15">
        <v>4</v>
      </c>
      <c r="B26" s="24" t="s">
        <v>46</v>
      </c>
      <c r="C26" s="27">
        <v>16</v>
      </c>
      <c r="D26" s="3" t="s">
        <v>54</v>
      </c>
      <c r="E26" s="41">
        <v>1</v>
      </c>
    </row>
    <row r="27" spans="1:5" ht="21" x14ac:dyDescent="0.4">
      <c r="A27" s="15">
        <v>5</v>
      </c>
      <c r="B27" s="24" t="s">
        <v>47</v>
      </c>
      <c r="C27" s="27">
        <v>252</v>
      </c>
      <c r="D27" s="3" t="s">
        <v>58</v>
      </c>
      <c r="E27" s="27">
        <v>5</v>
      </c>
    </row>
    <row r="28" spans="1:5" ht="36" x14ac:dyDescent="0.35">
      <c r="A28" s="15">
        <v>6</v>
      </c>
      <c r="B28" s="24" t="s">
        <v>48</v>
      </c>
      <c r="C28" s="27">
        <v>257</v>
      </c>
      <c r="D28" s="28"/>
      <c r="E28" s="35"/>
    </row>
    <row r="29" spans="1:5" ht="18" x14ac:dyDescent="0.35">
      <c r="A29" s="15">
        <v>7</v>
      </c>
      <c r="B29" s="24" t="s">
        <v>49</v>
      </c>
      <c r="C29" s="27">
        <v>20</v>
      </c>
      <c r="D29" s="28"/>
      <c r="E29" s="29"/>
    </row>
    <row r="30" spans="1:5" ht="18" x14ac:dyDescent="0.35">
      <c r="A30" s="15">
        <v>8</v>
      </c>
      <c r="B30" s="24" t="s">
        <v>50</v>
      </c>
      <c r="C30" s="27">
        <v>100</v>
      </c>
      <c r="D30" s="28"/>
      <c r="E30" s="29"/>
    </row>
    <row r="31" spans="1:5" ht="36" x14ac:dyDescent="0.35">
      <c r="A31" s="15">
        <v>9</v>
      </c>
      <c r="B31" s="24" t="s">
        <v>51</v>
      </c>
      <c r="C31" s="27">
        <v>261</v>
      </c>
      <c r="D31" s="28"/>
      <c r="E31" s="29"/>
    </row>
    <row r="32" spans="1:5" ht="18" x14ac:dyDescent="0.35">
      <c r="A32" s="15">
        <v>10</v>
      </c>
      <c r="B32" s="24" t="s">
        <v>52</v>
      </c>
      <c r="C32" s="38">
        <v>248</v>
      </c>
      <c r="D32" s="28"/>
      <c r="E32" s="29"/>
    </row>
    <row r="33" spans="1:5" ht="21" x14ac:dyDescent="0.35">
      <c r="A33" s="48" t="s">
        <v>39</v>
      </c>
      <c r="B33" s="49"/>
      <c r="C33" s="30">
        <f>SUM(C23:C32)</f>
        <v>1728</v>
      </c>
      <c r="D33" s="31"/>
      <c r="E33" s="32">
        <f>SUM(E23:E32)</f>
        <v>347</v>
      </c>
    </row>
  </sheetData>
  <mergeCells count="9">
    <mergeCell ref="A33:B33"/>
    <mergeCell ref="A1:D1"/>
    <mergeCell ref="C4:C5"/>
    <mergeCell ref="D4:D5"/>
    <mergeCell ref="A18:B18"/>
    <mergeCell ref="A19:E19"/>
    <mergeCell ref="C21:C22"/>
    <mergeCell ref="D21:D22"/>
    <mergeCell ref="E21:E22"/>
  </mergeCells>
  <pageMargins left="0.11811023622047245" right="0.11811023622047245" top="0.15748031496062992" bottom="0.15748031496062992" header="0.31496062992125984" footer="0.31496062992125984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92D5-1CBE-40EC-987D-EA049136DEB7}">
  <dimension ref="A1:K27"/>
  <sheetViews>
    <sheetView topLeftCell="A13" workbookViewId="0">
      <selection activeCell="M13" sqref="M13"/>
    </sheetView>
  </sheetViews>
  <sheetFormatPr defaultRowHeight="21" x14ac:dyDescent="0.4"/>
  <cols>
    <col min="1" max="1" width="32.09765625" style="1" customWidth="1"/>
    <col min="2" max="2" width="18.8984375" style="1" customWidth="1"/>
    <col min="3" max="3" width="7.59765625" style="1" bestFit="1" customWidth="1"/>
    <col min="4" max="4" width="9.09765625" style="1" customWidth="1"/>
    <col min="5" max="5" width="8.5" style="1" customWidth="1"/>
    <col min="6" max="6" width="7.5" style="1" customWidth="1"/>
    <col min="7" max="7" width="10" style="1" customWidth="1"/>
    <col min="8" max="16384" width="8.796875" style="1"/>
  </cols>
  <sheetData>
    <row r="1" spans="1:7" x14ac:dyDescent="0.4">
      <c r="A1" s="42" t="s">
        <v>69</v>
      </c>
      <c r="B1" s="42"/>
      <c r="C1" s="42"/>
      <c r="D1" s="42"/>
      <c r="E1" s="42"/>
      <c r="F1" s="7"/>
      <c r="G1" s="7"/>
    </row>
    <row r="2" spans="1:7" x14ac:dyDescent="0.4">
      <c r="A2" s="42" t="s">
        <v>130</v>
      </c>
      <c r="B2" s="42"/>
      <c r="C2" s="42"/>
      <c r="D2" s="42"/>
      <c r="E2" s="42"/>
      <c r="F2" s="7"/>
      <c r="G2" s="7"/>
    </row>
    <row r="3" spans="1:7" x14ac:dyDescent="0.4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18</v>
      </c>
      <c r="G3" s="8" t="s">
        <v>19</v>
      </c>
    </row>
    <row r="4" spans="1:7" x14ac:dyDescent="0.4">
      <c r="A4" s="3" t="s">
        <v>5</v>
      </c>
      <c r="B4" s="40" t="s">
        <v>123</v>
      </c>
      <c r="C4" s="3"/>
      <c r="D4" s="3"/>
      <c r="E4" s="3"/>
      <c r="F4" s="3"/>
      <c r="G4" s="3"/>
    </row>
    <row r="5" spans="1:7" x14ac:dyDescent="0.4">
      <c r="A5" s="3" t="s">
        <v>6</v>
      </c>
      <c r="B5" s="2" t="s">
        <v>124</v>
      </c>
      <c r="C5" s="3"/>
      <c r="D5" s="3"/>
      <c r="E5" s="3"/>
      <c r="F5" s="3"/>
      <c r="G5" s="3"/>
    </row>
    <row r="6" spans="1:7" x14ac:dyDescent="0.4">
      <c r="A6" s="3" t="s">
        <v>7</v>
      </c>
      <c r="B6" s="5" t="s">
        <v>120</v>
      </c>
      <c r="C6" s="3"/>
      <c r="D6" s="3"/>
      <c r="E6" s="3"/>
      <c r="F6" s="3"/>
      <c r="G6" s="3"/>
    </row>
    <row r="7" spans="1:7" x14ac:dyDescent="0.4">
      <c r="A7" s="3" t="s">
        <v>8</v>
      </c>
      <c r="B7" s="4" t="s">
        <v>121</v>
      </c>
      <c r="C7" s="3"/>
      <c r="D7" s="3"/>
      <c r="E7" s="3"/>
      <c r="F7" s="3"/>
      <c r="G7" s="3"/>
    </row>
    <row r="8" spans="1:7" x14ac:dyDescent="0.4">
      <c r="A8" s="3" t="s">
        <v>10</v>
      </c>
      <c r="B8" s="2">
        <v>0</v>
      </c>
      <c r="C8" s="2"/>
      <c r="D8" s="2"/>
      <c r="E8" s="2"/>
      <c r="F8" s="2"/>
      <c r="G8" s="2"/>
    </row>
    <row r="9" spans="1:7" x14ac:dyDescent="0.4">
      <c r="A9" s="3" t="s">
        <v>15</v>
      </c>
      <c r="B9" s="2">
        <v>2</v>
      </c>
      <c r="C9" s="2"/>
      <c r="D9" s="2"/>
      <c r="E9" s="2"/>
      <c r="F9" s="2"/>
      <c r="G9" s="2"/>
    </row>
    <row r="10" spans="1:7" x14ac:dyDescent="0.4">
      <c r="A10" s="3" t="s">
        <v>20</v>
      </c>
      <c r="B10" s="2">
        <v>101</v>
      </c>
      <c r="C10" s="3"/>
      <c r="D10" s="3"/>
      <c r="E10" s="3"/>
      <c r="F10" s="2"/>
      <c r="G10" s="3"/>
    </row>
    <row r="11" spans="1:7" x14ac:dyDescent="0.4">
      <c r="A11" s="3" t="s">
        <v>11</v>
      </c>
      <c r="B11" s="2">
        <v>15</v>
      </c>
      <c r="C11" s="3"/>
      <c r="D11" s="3"/>
      <c r="E11" s="3"/>
      <c r="F11" s="3"/>
      <c r="G11" s="3"/>
    </row>
    <row r="12" spans="1:7" x14ac:dyDescent="0.4">
      <c r="A12" s="34" t="s">
        <v>122</v>
      </c>
      <c r="B12" s="2">
        <v>2</v>
      </c>
      <c r="C12" s="3"/>
      <c r="D12" s="3"/>
      <c r="E12" s="3"/>
      <c r="F12" s="3"/>
      <c r="G12" s="3"/>
    </row>
    <row r="13" spans="1:7" x14ac:dyDescent="0.4">
      <c r="A13" s="3" t="s">
        <v>17</v>
      </c>
      <c r="B13" s="39">
        <v>2</v>
      </c>
      <c r="C13" s="3"/>
      <c r="D13" s="3"/>
      <c r="E13" s="3"/>
      <c r="F13" s="3"/>
      <c r="G13" s="3"/>
    </row>
    <row r="14" spans="1:7" x14ac:dyDescent="0.4">
      <c r="A14" s="43" t="s">
        <v>12</v>
      </c>
      <c r="B14" s="44"/>
      <c r="C14" s="44"/>
      <c r="D14" s="44"/>
      <c r="E14" s="44"/>
      <c r="F14" s="44"/>
      <c r="G14" s="45"/>
    </row>
    <row r="15" spans="1:7" x14ac:dyDescent="0.4">
      <c r="A15" s="3" t="s">
        <v>14</v>
      </c>
      <c r="B15" s="2">
        <v>468</v>
      </c>
      <c r="C15" s="3"/>
      <c r="D15" s="3"/>
      <c r="E15" s="3"/>
      <c r="F15" s="3"/>
      <c r="G15" s="3"/>
    </row>
    <row r="16" spans="1:7" x14ac:dyDescent="0.4">
      <c r="A16" s="3" t="s">
        <v>87</v>
      </c>
      <c r="B16" s="2">
        <v>390</v>
      </c>
      <c r="C16" s="3"/>
      <c r="D16" s="3"/>
      <c r="E16" s="3"/>
      <c r="F16" s="3"/>
      <c r="G16" s="3"/>
    </row>
    <row r="17" spans="1:11" x14ac:dyDescent="0.4">
      <c r="A17" s="3" t="s">
        <v>81</v>
      </c>
      <c r="B17" s="2">
        <v>221</v>
      </c>
      <c r="C17" s="3"/>
      <c r="D17" s="3"/>
      <c r="E17" s="3"/>
      <c r="F17" s="3"/>
      <c r="G17" s="3"/>
    </row>
    <row r="18" spans="1:11" x14ac:dyDescent="0.4">
      <c r="A18" s="3" t="s">
        <v>126</v>
      </c>
      <c r="B18" s="2">
        <v>51</v>
      </c>
      <c r="C18" s="3"/>
      <c r="D18" s="3"/>
      <c r="E18" s="3"/>
      <c r="F18" s="3"/>
      <c r="G18" s="3"/>
    </row>
    <row r="19" spans="1:11" x14ac:dyDescent="0.4">
      <c r="A19" s="3" t="s">
        <v>125</v>
      </c>
      <c r="B19" s="2">
        <v>50</v>
      </c>
      <c r="C19" s="3"/>
      <c r="D19" s="3"/>
      <c r="E19" s="3"/>
      <c r="F19" s="3"/>
      <c r="G19" s="3"/>
    </row>
    <row r="20" spans="1:11" x14ac:dyDescent="0.4">
      <c r="A20" s="43" t="s">
        <v>13</v>
      </c>
      <c r="B20" s="44"/>
      <c r="C20" s="44"/>
      <c r="D20" s="44"/>
      <c r="E20" s="44"/>
      <c r="F20" s="44"/>
      <c r="G20" s="45"/>
      <c r="K20" s="1" t="s">
        <v>21</v>
      </c>
    </row>
    <row r="21" spans="1:11" x14ac:dyDescent="0.4">
      <c r="A21" s="3" t="s">
        <v>100</v>
      </c>
      <c r="B21" s="2">
        <v>23</v>
      </c>
      <c r="C21" s="3"/>
      <c r="D21" s="3"/>
      <c r="E21" s="3"/>
      <c r="F21" s="3"/>
      <c r="G21" s="3"/>
    </row>
    <row r="22" spans="1:11" x14ac:dyDescent="0.4">
      <c r="A22" s="3" t="s">
        <v>89</v>
      </c>
      <c r="B22" s="2">
        <v>21</v>
      </c>
      <c r="C22" s="3"/>
      <c r="D22" s="3"/>
      <c r="E22" s="3"/>
      <c r="F22" s="3"/>
      <c r="G22" s="3"/>
    </row>
    <row r="23" spans="1:11" x14ac:dyDescent="0.4">
      <c r="A23" s="3" t="s">
        <v>127</v>
      </c>
      <c r="B23" s="2">
        <v>16</v>
      </c>
      <c r="C23" s="3"/>
      <c r="D23" s="3"/>
      <c r="E23" s="3"/>
      <c r="F23" s="3"/>
      <c r="G23" s="3"/>
    </row>
    <row r="24" spans="1:11" x14ac:dyDescent="0.4">
      <c r="A24" s="3" t="s">
        <v>128</v>
      </c>
      <c r="B24" s="2">
        <v>9</v>
      </c>
      <c r="C24" s="3"/>
      <c r="D24" s="3"/>
      <c r="E24" s="3"/>
      <c r="F24" s="3"/>
      <c r="G24" s="3"/>
    </row>
    <row r="25" spans="1:11" x14ac:dyDescent="0.4">
      <c r="A25" s="3" t="s">
        <v>129</v>
      </c>
      <c r="B25" s="2">
        <v>9</v>
      </c>
      <c r="C25" s="3"/>
      <c r="D25" s="3"/>
      <c r="E25" s="3"/>
      <c r="F25" s="3"/>
      <c r="G25" s="3"/>
    </row>
    <row r="26" spans="1:11" x14ac:dyDescent="0.4">
      <c r="A26" s="46"/>
      <c r="B26" s="46"/>
      <c r="C26" s="46"/>
      <c r="D26" s="46"/>
      <c r="E26" s="46"/>
    </row>
    <row r="27" spans="1:11" x14ac:dyDescent="0.4">
      <c r="A27" s="47"/>
      <c r="B27" s="47"/>
      <c r="C27" s="47"/>
      <c r="D27" s="47"/>
      <c r="E27" s="47"/>
    </row>
  </sheetData>
  <mergeCells count="6">
    <mergeCell ref="A27:E27"/>
    <mergeCell ref="A1:E1"/>
    <mergeCell ref="A2:E2"/>
    <mergeCell ref="A14:G14"/>
    <mergeCell ref="A20:G20"/>
    <mergeCell ref="A26:E26"/>
  </mergeCells>
  <pageMargins left="0.43307086614173229" right="0.23622047244094491" top="0.74803149606299213" bottom="0.74803149606299213" header="0.31496062992125984" footer="0.31496062992125984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314E-1A16-4A39-AFF8-4438DACA52D2}">
  <dimension ref="A1:E33"/>
  <sheetViews>
    <sheetView zoomScale="94" zoomScaleNormal="94" workbookViewId="0">
      <selection activeCell="I10" sqref="I10"/>
    </sheetView>
  </sheetViews>
  <sheetFormatPr defaultRowHeight="13.8" x14ac:dyDescent="0.25"/>
  <cols>
    <col min="1" max="1" width="5.19921875" bestFit="1" customWidth="1"/>
    <col min="2" max="2" width="36.09765625" bestFit="1" customWidth="1"/>
    <col min="3" max="3" width="10.8984375" customWidth="1"/>
    <col min="4" max="4" width="25.3984375" customWidth="1"/>
    <col min="5" max="5" width="18.19921875" bestFit="1" customWidth="1"/>
  </cols>
  <sheetData>
    <row r="1" spans="1:4" ht="23.4" x14ac:dyDescent="0.25">
      <c r="A1" s="50" t="s">
        <v>25</v>
      </c>
      <c r="B1" s="50"/>
      <c r="C1" s="50"/>
      <c r="D1" s="50"/>
    </row>
    <row r="2" spans="1:4" ht="21" x14ac:dyDescent="0.4">
      <c r="A2" s="11"/>
      <c r="B2" s="9"/>
      <c r="C2" s="9"/>
      <c r="D2" s="9"/>
    </row>
    <row r="3" spans="1:4" ht="21" x14ac:dyDescent="0.4">
      <c r="A3" s="11"/>
      <c r="B3" s="12" t="s">
        <v>56</v>
      </c>
      <c r="C3" s="10"/>
      <c r="D3" s="10"/>
    </row>
    <row r="4" spans="1:4" ht="21" x14ac:dyDescent="0.4">
      <c r="A4" s="11"/>
      <c r="B4" s="36" t="s">
        <v>107</v>
      </c>
      <c r="C4" s="51" t="s">
        <v>26</v>
      </c>
      <c r="D4" s="53" t="s">
        <v>27</v>
      </c>
    </row>
    <row r="5" spans="1:4" ht="21" x14ac:dyDescent="0.4">
      <c r="A5" s="13" t="s">
        <v>28</v>
      </c>
      <c r="B5" s="14" t="s">
        <v>0</v>
      </c>
      <c r="C5" s="52"/>
      <c r="D5" s="54"/>
    </row>
    <row r="6" spans="1:4" ht="18" x14ac:dyDescent="0.35">
      <c r="A6" s="15">
        <v>1</v>
      </c>
      <c r="B6" s="16" t="s">
        <v>29</v>
      </c>
      <c r="C6" s="41">
        <v>28</v>
      </c>
      <c r="D6" s="18">
        <v>21</v>
      </c>
    </row>
    <row r="7" spans="1:4" ht="18" x14ac:dyDescent="0.35">
      <c r="A7" s="15">
        <v>2</v>
      </c>
      <c r="B7" s="16" t="s">
        <v>30</v>
      </c>
      <c r="C7" s="41">
        <v>12</v>
      </c>
      <c r="D7" s="18">
        <v>4</v>
      </c>
    </row>
    <row r="8" spans="1:4" ht="18" x14ac:dyDescent="0.35">
      <c r="A8" s="15">
        <v>3</v>
      </c>
      <c r="B8" s="19" t="s">
        <v>31</v>
      </c>
      <c r="C8" s="41">
        <v>20</v>
      </c>
      <c r="D8" s="18">
        <v>7</v>
      </c>
    </row>
    <row r="9" spans="1:4" ht="18" x14ac:dyDescent="0.35">
      <c r="A9" s="15">
        <v>4</v>
      </c>
      <c r="B9" s="16" t="s">
        <v>32</v>
      </c>
      <c r="C9" s="41">
        <v>17</v>
      </c>
      <c r="D9" s="18">
        <v>9</v>
      </c>
    </row>
    <row r="10" spans="1:4" ht="18" x14ac:dyDescent="0.35">
      <c r="A10" s="15">
        <v>5</v>
      </c>
      <c r="B10" s="16" t="s">
        <v>33</v>
      </c>
      <c r="C10" s="41">
        <v>36</v>
      </c>
      <c r="D10" s="18">
        <v>24</v>
      </c>
    </row>
    <row r="11" spans="1:4" ht="18" x14ac:dyDescent="0.35">
      <c r="A11" s="15">
        <v>6</v>
      </c>
      <c r="B11" s="16" t="s">
        <v>34</v>
      </c>
      <c r="C11" s="41">
        <v>7</v>
      </c>
      <c r="D11" s="18">
        <v>1</v>
      </c>
    </row>
    <row r="12" spans="1:4" ht="18" x14ac:dyDescent="0.35">
      <c r="A12" s="15">
        <v>7</v>
      </c>
      <c r="B12" s="16" t="s">
        <v>35</v>
      </c>
      <c r="C12" s="41">
        <v>15</v>
      </c>
      <c r="D12" s="18">
        <v>3</v>
      </c>
    </row>
    <row r="13" spans="1:4" ht="18" x14ac:dyDescent="0.35">
      <c r="A13" s="15">
        <v>8</v>
      </c>
      <c r="B13" s="16" t="s">
        <v>36</v>
      </c>
      <c r="C13" s="41">
        <v>73</v>
      </c>
      <c r="D13" s="18">
        <v>55</v>
      </c>
    </row>
    <row r="14" spans="1:4" ht="18" x14ac:dyDescent="0.35">
      <c r="A14" s="15">
        <v>9</v>
      </c>
      <c r="B14" s="16" t="s">
        <v>37</v>
      </c>
      <c r="C14" s="41">
        <v>1</v>
      </c>
      <c r="D14" s="18">
        <v>0</v>
      </c>
    </row>
    <row r="15" spans="1:4" ht="18" x14ac:dyDescent="0.35">
      <c r="A15" s="15">
        <v>10</v>
      </c>
      <c r="B15" s="16" t="s">
        <v>38</v>
      </c>
      <c r="C15" s="41">
        <v>1</v>
      </c>
      <c r="D15" s="18">
        <v>2</v>
      </c>
    </row>
    <row r="16" spans="1:4" ht="18" x14ac:dyDescent="0.35">
      <c r="A16" s="21">
        <v>11</v>
      </c>
      <c r="B16" s="37" t="s">
        <v>70</v>
      </c>
      <c r="C16" s="41">
        <v>0</v>
      </c>
      <c r="D16" s="18">
        <v>0</v>
      </c>
    </row>
    <row r="17" spans="1:5" ht="21" x14ac:dyDescent="0.35">
      <c r="A17" s="21">
        <v>12</v>
      </c>
      <c r="B17" s="37" t="s">
        <v>57</v>
      </c>
      <c r="C17" s="41">
        <v>0</v>
      </c>
      <c r="D17" s="26">
        <v>0</v>
      </c>
    </row>
    <row r="18" spans="1:5" ht="21" x14ac:dyDescent="0.25">
      <c r="A18" s="48" t="s">
        <v>39</v>
      </c>
      <c r="B18" s="49"/>
      <c r="C18" s="17">
        <f>SUM(C6:C17)</f>
        <v>210</v>
      </c>
      <c r="D18" s="18">
        <f>SUM(D6:D17)</f>
        <v>126</v>
      </c>
    </row>
    <row r="19" spans="1:5" ht="23.4" x14ac:dyDescent="0.25">
      <c r="A19" s="50" t="s">
        <v>40</v>
      </c>
      <c r="B19" s="55"/>
      <c r="C19" s="55"/>
      <c r="D19" s="55"/>
      <c r="E19" s="55"/>
    </row>
    <row r="20" spans="1:5" ht="21" x14ac:dyDescent="0.4">
      <c r="A20" s="7"/>
      <c r="B20" s="12" t="s">
        <v>56</v>
      </c>
      <c r="C20" s="10"/>
      <c r="D20" s="10"/>
      <c r="E20" s="10"/>
    </row>
    <row r="21" spans="1:5" ht="21" x14ac:dyDescent="0.4">
      <c r="A21" s="7"/>
      <c r="B21" s="36" t="s">
        <v>107</v>
      </c>
      <c r="C21" s="56" t="s">
        <v>26</v>
      </c>
      <c r="D21" s="57" t="s">
        <v>0</v>
      </c>
      <c r="E21" s="53" t="s">
        <v>27</v>
      </c>
    </row>
    <row r="22" spans="1:5" ht="21" x14ac:dyDescent="0.4">
      <c r="A22" s="23" t="s">
        <v>28</v>
      </c>
      <c r="B22" s="23" t="s">
        <v>0</v>
      </c>
      <c r="C22" s="51"/>
      <c r="D22" s="58"/>
      <c r="E22" s="59"/>
    </row>
    <row r="23" spans="1:5" ht="36" x14ac:dyDescent="0.35">
      <c r="A23" s="15">
        <v>1</v>
      </c>
      <c r="B23" s="24" t="s">
        <v>41</v>
      </c>
      <c r="C23" s="25">
        <v>203</v>
      </c>
      <c r="D23" s="33" t="s">
        <v>42</v>
      </c>
      <c r="E23" s="18">
        <v>94</v>
      </c>
    </row>
    <row r="24" spans="1:5" ht="36" x14ac:dyDescent="0.35">
      <c r="A24" s="15">
        <v>2</v>
      </c>
      <c r="B24" s="24" t="s">
        <v>43</v>
      </c>
      <c r="C24" s="25">
        <v>207</v>
      </c>
      <c r="D24" s="33" t="s">
        <v>53</v>
      </c>
      <c r="E24" s="18">
        <v>122</v>
      </c>
    </row>
    <row r="25" spans="1:5" ht="18" x14ac:dyDescent="0.35">
      <c r="A25" s="15">
        <v>3</v>
      </c>
      <c r="B25" s="24" t="s">
        <v>44</v>
      </c>
      <c r="C25" s="27">
        <v>68</v>
      </c>
      <c r="D25" s="34" t="s">
        <v>45</v>
      </c>
      <c r="E25" s="18">
        <v>57</v>
      </c>
    </row>
    <row r="26" spans="1:5" ht="21" x14ac:dyDescent="0.4">
      <c r="A26" s="15">
        <v>4</v>
      </c>
      <c r="B26" s="24" t="s">
        <v>46</v>
      </c>
      <c r="C26" s="27">
        <v>14</v>
      </c>
      <c r="D26" s="3" t="s">
        <v>54</v>
      </c>
      <c r="E26" s="41">
        <v>1</v>
      </c>
    </row>
    <row r="27" spans="1:5" ht="21" x14ac:dyDescent="0.4">
      <c r="A27" s="15">
        <v>5</v>
      </c>
      <c r="B27" s="24" t="s">
        <v>47</v>
      </c>
      <c r="C27" s="27">
        <v>201</v>
      </c>
      <c r="D27" s="3" t="s">
        <v>58</v>
      </c>
      <c r="E27" s="27">
        <v>7</v>
      </c>
    </row>
    <row r="28" spans="1:5" ht="36" x14ac:dyDescent="0.35">
      <c r="A28" s="15">
        <v>6</v>
      </c>
      <c r="B28" s="24" t="s">
        <v>48</v>
      </c>
      <c r="C28" s="27">
        <v>203</v>
      </c>
      <c r="D28" s="28"/>
      <c r="E28" s="35"/>
    </row>
    <row r="29" spans="1:5" ht="18" x14ac:dyDescent="0.35">
      <c r="A29" s="15">
        <v>7</v>
      </c>
      <c r="B29" s="24" t="s">
        <v>49</v>
      </c>
      <c r="C29" s="27">
        <v>21</v>
      </c>
      <c r="D29" s="28"/>
      <c r="E29" s="29"/>
    </row>
    <row r="30" spans="1:5" ht="18" x14ac:dyDescent="0.35">
      <c r="A30" s="15">
        <v>8</v>
      </c>
      <c r="B30" s="24" t="s">
        <v>50</v>
      </c>
      <c r="C30" s="27">
        <v>81</v>
      </c>
      <c r="D30" s="28"/>
      <c r="E30" s="29"/>
    </row>
    <row r="31" spans="1:5" ht="36" x14ac:dyDescent="0.35">
      <c r="A31" s="15">
        <v>9</v>
      </c>
      <c r="B31" s="24" t="s">
        <v>51</v>
      </c>
      <c r="C31" s="27">
        <v>210</v>
      </c>
      <c r="D31" s="28"/>
      <c r="E31" s="29"/>
    </row>
    <row r="32" spans="1:5" ht="18" x14ac:dyDescent="0.35">
      <c r="A32" s="15">
        <v>10</v>
      </c>
      <c r="B32" s="24" t="s">
        <v>52</v>
      </c>
      <c r="C32" s="38">
        <v>195</v>
      </c>
      <c r="D32" s="28"/>
      <c r="E32" s="29"/>
    </row>
    <row r="33" spans="1:5" ht="21" x14ac:dyDescent="0.35">
      <c r="A33" s="48" t="s">
        <v>39</v>
      </c>
      <c r="B33" s="49"/>
      <c r="C33" s="30">
        <f>SUM(C23:C32)</f>
        <v>1403</v>
      </c>
      <c r="D33" s="31"/>
      <c r="E33" s="32">
        <f>SUM(E23:E32)</f>
        <v>281</v>
      </c>
    </row>
  </sheetData>
  <mergeCells count="9">
    <mergeCell ref="A33:B33"/>
    <mergeCell ref="A1:D1"/>
    <mergeCell ref="C4:C5"/>
    <mergeCell ref="D4:D5"/>
    <mergeCell ref="A18:B18"/>
    <mergeCell ref="A19:E19"/>
    <mergeCell ref="C21:C22"/>
    <mergeCell ref="D21:D22"/>
    <mergeCell ref="E21:E22"/>
  </mergeCells>
  <pageMargins left="0.11811023622047245" right="0.11811023622047245" top="0.15748031496062992" bottom="0.15748031496062992" header="0.31496062992125984" footer="0.31496062992125984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E1A6-A779-4FF7-8F3D-8B881378ED6B}">
  <dimension ref="A1:K27"/>
  <sheetViews>
    <sheetView workbookViewId="0">
      <selection activeCell="B11" sqref="B11"/>
    </sheetView>
  </sheetViews>
  <sheetFormatPr defaultRowHeight="21" x14ac:dyDescent="0.4"/>
  <cols>
    <col min="1" max="1" width="32.09765625" style="1" customWidth="1"/>
    <col min="2" max="2" width="18.8984375" style="1" customWidth="1"/>
    <col min="3" max="3" width="7.59765625" style="1" bestFit="1" customWidth="1"/>
    <col min="4" max="4" width="9.09765625" style="1" customWidth="1"/>
    <col min="5" max="5" width="8.5" style="1" customWidth="1"/>
    <col min="6" max="6" width="7.5" style="1" customWidth="1"/>
    <col min="7" max="7" width="10" style="1" customWidth="1"/>
    <col min="8" max="16384" width="8.796875" style="1"/>
  </cols>
  <sheetData>
    <row r="1" spans="1:7" x14ac:dyDescent="0.4">
      <c r="A1" s="42" t="s">
        <v>69</v>
      </c>
      <c r="B1" s="42"/>
      <c r="C1" s="42"/>
      <c r="D1" s="42"/>
      <c r="E1" s="42"/>
      <c r="F1" s="7"/>
      <c r="G1" s="7"/>
    </row>
    <row r="2" spans="1:7" x14ac:dyDescent="0.4">
      <c r="A2" s="42" t="s">
        <v>109</v>
      </c>
      <c r="B2" s="42"/>
      <c r="C2" s="42"/>
      <c r="D2" s="42"/>
      <c r="E2" s="42"/>
      <c r="F2" s="7"/>
      <c r="G2" s="7"/>
    </row>
    <row r="3" spans="1:7" x14ac:dyDescent="0.4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18</v>
      </c>
      <c r="G3" s="8" t="s">
        <v>19</v>
      </c>
    </row>
    <row r="4" spans="1:7" x14ac:dyDescent="0.4">
      <c r="A4" s="3" t="s">
        <v>5</v>
      </c>
      <c r="B4" s="40" t="s">
        <v>110</v>
      </c>
      <c r="C4" s="3"/>
      <c r="D4" s="3"/>
      <c r="E4" s="3"/>
      <c r="F4" s="3"/>
      <c r="G4" s="3"/>
    </row>
    <row r="5" spans="1:7" x14ac:dyDescent="0.4">
      <c r="A5" s="3" t="s">
        <v>6</v>
      </c>
      <c r="B5" s="2" t="s">
        <v>115</v>
      </c>
      <c r="C5" s="3"/>
      <c r="D5" s="3"/>
      <c r="E5" s="3"/>
      <c r="F5" s="3"/>
      <c r="G5" s="3"/>
    </row>
    <row r="6" spans="1:7" x14ac:dyDescent="0.4">
      <c r="A6" s="3" t="s">
        <v>7</v>
      </c>
      <c r="B6" s="5" t="s">
        <v>111</v>
      </c>
      <c r="C6" s="3"/>
      <c r="D6" s="3"/>
      <c r="E6" s="3"/>
      <c r="F6" s="3"/>
      <c r="G6" s="3"/>
    </row>
    <row r="7" spans="1:7" x14ac:dyDescent="0.4">
      <c r="A7" s="3" t="s">
        <v>8</v>
      </c>
      <c r="B7" s="4" t="s">
        <v>113</v>
      </c>
      <c r="C7" s="3"/>
      <c r="D7" s="3"/>
      <c r="E7" s="3"/>
      <c r="F7" s="3"/>
      <c r="G7" s="3"/>
    </row>
    <row r="8" spans="1:7" x14ac:dyDescent="0.4">
      <c r="A8" s="3" t="s">
        <v>10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1</v>
      </c>
    </row>
    <row r="9" spans="1:7" x14ac:dyDescent="0.4">
      <c r="A9" s="3" t="s">
        <v>15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1</v>
      </c>
    </row>
    <row r="10" spans="1:7" x14ac:dyDescent="0.4">
      <c r="A10" s="3" t="s">
        <v>20</v>
      </c>
      <c r="B10" s="2">
        <v>110</v>
      </c>
      <c r="C10" s="3"/>
      <c r="D10" s="3"/>
      <c r="E10" s="3"/>
      <c r="F10" s="2"/>
      <c r="G10" s="3"/>
    </row>
    <row r="11" spans="1:7" x14ac:dyDescent="0.4">
      <c r="A11" s="3" t="s">
        <v>11</v>
      </c>
      <c r="B11" s="2">
        <v>9</v>
      </c>
      <c r="C11" s="3"/>
      <c r="D11" s="3"/>
      <c r="E11" s="3"/>
      <c r="F11" s="3"/>
      <c r="G11" s="3"/>
    </row>
    <row r="12" spans="1:7" x14ac:dyDescent="0.4">
      <c r="A12" s="3" t="s">
        <v>112</v>
      </c>
      <c r="B12" s="2">
        <v>1</v>
      </c>
      <c r="C12" s="3"/>
      <c r="D12" s="3"/>
      <c r="E12" s="3"/>
      <c r="F12" s="3"/>
      <c r="G12" s="3"/>
    </row>
    <row r="13" spans="1:7" x14ac:dyDescent="0.4">
      <c r="A13" s="3" t="s">
        <v>17</v>
      </c>
      <c r="B13" s="39">
        <v>2</v>
      </c>
      <c r="C13" s="3"/>
      <c r="D13" s="3"/>
      <c r="E13" s="3"/>
      <c r="F13" s="3"/>
      <c r="G13" s="3"/>
    </row>
    <row r="14" spans="1:7" x14ac:dyDescent="0.4">
      <c r="A14" s="43" t="s">
        <v>12</v>
      </c>
      <c r="B14" s="44"/>
      <c r="C14" s="44"/>
      <c r="D14" s="44"/>
      <c r="E14" s="44"/>
      <c r="F14" s="44"/>
      <c r="G14" s="45"/>
    </row>
    <row r="15" spans="1:7" x14ac:dyDescent="0.4">
      <c r="A15" s="3" t="s">
        <v>14</v>
      </c>
      <c r="B15" s="2">
        <v>419</v>
      </c>
      <c r="C15" s="3"/>
      <c r="D15" s="3"/>
      <c r="E15" s="3"/>
      <c r="F15" s="3"/>
      <c r="G15" s="3"/>
    </row>
    <row r="16" spans="1:7" x14ac:dyDescent="0.4">
      <c r="A16" s="3" t="s">
        <v>87</v>
      </c>
      <c r="B16" s="2">
        <v>187</v>
      </c>
      <c r="C16" s="3"/>
      <c r="D16" s="3"/>
      <c r="E16" s="3"/>
      <c r="F16" s="3"/>
      <c r="G16" s="3"/>
    </row>
    <row r="17" spans="1:11" x14ac:dyDescent="0.4">
      <c r="A17" s="3" t="s">
        <v>114</v>
      </c>
      <c r="B17" s="2">
        <v>58</v>
      </c>
      <c r="C17" s="3"/>
      <c r="D17" s="3"/>
      <c r="E17" s="3"/>
      <c r="F17" s="3"/>
      <c r="G17" s="3"/>
    </row>
    <row r="18" spans="1:11" x14ac:dyDescent="0.4">
      <c r="A18" s="3" t="s">
        <v>117</v>
      </c>
      <c r="B18" s="2">
        <v>44</v>
      </c>
      <c r="C18" s="3"/>
      <c r="D18" s="3"/>
      <c r="E18" s="3"/>
      <c r="F18" s="3"/>
      <c r="G18" s="3"/>
    </row>
    <row r="19" spans="1:11" x14ac:dyDescent="0.4">
      <c r="A19" s="3" t="s">
        <v>118</v>
      </c>
      <c r="B19" s="2">
        <v>42</v>
      </c>
      <c r="C19" s="3"/>
      <c r="D19" s="3"/>
      <c r="E19" s="3"/>
      <c r="F19" s="3"/>
      <c r="G19" s="3"/>
    </row>
    <row r="20" spans="1:11" x14ac:dyDescent="0.4">
      <c r="A20" s="43" t="s">
        <v>13</v>
      </c>
      <c r="B20" s="44"/>
      <c r="C20" s="44"/>
      <c r="D20" s="44"/>
      <c r="E20" s="44"/>
      <c r="F20" s="44"/>
      <c r="G20" s="45"/>
      <c r="K20" s="1" t="s">
        <v>21</v>
      </c>
    </row>
    <row r="21" spans="1:11" x14ac:dyDescent="0.4">
      <c r="A21" s="3" t="s">
        <v>100</v>
      </c>
      <c r="B21" s="2">
        <v>34</v>
      </c>
      <c r="C21" s="3"/>
      <c r="D21" s="3"/>
      <c r="E21" s="3"/>
      <c r="F21" s="3"/>
      <c r="G21" s="3"/>
    </row>
    <row r="22" spans="1:11" x14ac:dyDescent="0.4">
      <c r="A22" s="3" t="s">
        <v>101</v>
      </c>
      <c r="B22" s="2">
        <v>18</v>
      </c>
      <c r="C22" s="3"/>
      <c r="D22" s="3"/>
      <c r="E22" s="3"/>
      <c r="F22" s="3"/>
      <c r="G22" s="3"/>
    </row>
    <row r="23" spans="1:11" x14ac:dyDescent="0.4">
      <c r="A23" s="3" t="s">
        <v>102</v>
      </c>
      <c r="B23" s="2">
        <v>18</v>
      </c>
      <c r="C23" s="3"/>
      <c r="D23" s="3"/>
      <c r="E23" s="3"/>
      <c r="F23" s="3"/>
      <c r="G23" s="3"/>
    </row>
    <row r="24" spans="1:11" x14ac:dyDescent="0.4">
      <c r="A24" s="3" t="s">
        <v>103</v>
      </c>
      <c r="B24" s="2">
        <v>14</v>
      </c>
      <c r="C24" s="3"/>
      <c r="D24" s="3"/>
      <c r="E24" s="3"/>
      <c r="F24" s="3"/>
      <c r="G24" s="3"/>
    </row>
    <row r="25" spans="1:11" x14ac:dyDescent="0.4">
      <c r="A25" s="3" t="s">
        <v>116</v>
      </c>
      <c r="B25" s="2">
        <v>6</v>
      </c>
      <c r="C25" s="3"/>
      <c r="D25" s="3"/>
      <c r="E25" s="3"/>
      <c r="F25" s="3"/>
      <c r="G25" s="3"/>
    </row>
    <row r="26" spans="1:11" x14ac:dyDescent="0.4">
      <c r="A26" s="46"/>
      <c r="B26" s="46"/>
      <c r="C26" s="46"/>
      <c r="D26" s="46"/>
      <c r="E26" s="46"/>
    </row>
    <row r="27" spans="1:11" x14ac:dyDescent="0.4">
      <c r="A27" s="47"/>
      <c r="B27" s="47"/>
      <c r="C27" s="47"/>
      <c r="D27" s="47"/>
      <c r="E27" s="47"/>
    </row>
  </sheetData>
  <mergeCells count="6">
    <mergeCell ref="A27:E27"/>
    <mergeCell ref="A1:E1"/>
    <mergeCell ref="A2:E2"/>
    <mergeCell ref="A14:G14"/>
    <mergeCell ref="A20:G20"/>
    <mergeCell ref="A26:E26"/>
  </mergeCells>
  <pageMargins left="0.43307086614173229" right="0.23622047244094491" top="0.74803149606299213" bottom="0.74803149606299213" header="0.31496062992125984" footer="0.31496062992125984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E9FC-98FF-45B0-B19D-470B8DBF0972}">
  <dimension ref="A1:E33"/>
  <sheetViews>
    <sheetView zoomScale="94" zoomScaleNormal="94" workbookViewId="0">
      <selection activeCell="L31" sqref="L31"/>
    </sheetView>
  </sheetViews>
  <sheetFormatPr defaultRowHeight="13.8" x14ac:dyDescent="0.25"/>
  <cols>
    <col min="1" max="1" width="5.19921875" bestFit="1" customWidth="1"/>
    <col min="2" max="2" width="36.09765625" bestFit="1" customWidth="1"/>
    <col min="3" max="3" width="10.8984375" customWidth="1"/>
    <col min="4" max="4" width="25.3984375" customWidth="1"/>
    <col min="5" max="5" width="18.19921875" bestFit="1" customWidth="1"/>
  </cols>
  <sheetData>
    <row r="1" spans="1:4" ht="23.4" x14ac:dyDescent="0.25">
      <c r="A1" s="50" t="s">
        <v>25</v>
      </c>
      <c r="B1" s="50"/>
      <c r="C1" s="50"/>
      <c r="D1" s="50"/>
    </row>
    <row r="2" spans="1:4" ht="21" x14ac:dyDescent="0.4">
      <c r="A2" s="11"/>
      <c r="B2" s="9"/>
      <c r="C2" s="9"/>
      <c r="D2" s="9"/>
    </row>
    <row r="3" spans="1:4" ht="21" x14ac:dyDescent="0.4">
      <c r="A3" s="11"/>
      <c r="B3" s="12" t="s">
        <v>56</v>
      </c>
      <c r="C3" s="10"/>
      <c r="D3" s="10"/>
    </row>
    <row r="4" spans="1:4" ht="21" x14ac:dyDescent="0.4">
      <c r="A4" s="11"/>
      <c r="B4" s="36">
        <v>244379</v>
      </c>
      <c r="C4" s="51" t="s">
        <v>26</v>
      </c>
      <c r="D4" s="53" t="s">
        <v>27</v>
      </c>
    </row>
    <row r="5" spans="1:4" ht="21" x14ac:dyDescent="0.4">
      <c r="A5" s="13" t="s">
        <v>28</v>
      </c>
      <c r="B5" s="14" t="s">
        <v>0</v>
      </c>
      <c r="C5" s="52"/>
      <c r="D5" s="54"/>
    </row>
    <row r="6" spans="1:4" ht="18" x14ac:dyDescent="0.35">
      <c r="A6" s="15">
        <v>1</v>
      </c>
      <c r="B6" s="16" t="s">
        <v>29</v>
      </c>
      <c r="C6" s="41">
        <v>31</v>
      </c>
      <c r="D6" s="18">
        <v>19</v>
      </c>
    </row>
    <row r="7" spans="1:4" ht="18" x14ac:dyDescent="0.35">
      <c r="A7" s="15">
        <v>2</v>
      </c>
      <c r="B7" s="16" t="s">
        <v>30</v>
      </c>
      <c r="C7" s="41">
        <v>16</v>
      </c>
      <c r="D7" s="18">
        <v>4</v>
      </c>
    </row>
    <row r="8" spans="1:4" ht="18" x14ac:dyDescent="0.35">
      <c r="A8" s="15">
        <v>3</v>
      </c>
      <c r="B8" s="19" t="s">
        <v>31</v>
      </c>
      <c r="C8" s="41">
        <v>26</v>
      </c>
      <c r="D8" s="18">
        <v>9</v>
      </c>
    </row>
    <row r="9" spans="1:4" ht="18" x14ac:dyDescent="0.35">
      <c r="A9" s="15">
        <v>4</v>
      </c>
      <c r="B9" s="16" t="s">
        <v>32</v>
      </c>
      <c r="C9" s="41">
        <v>10</v>
      </c>
      <c r="D9" s="18">
        <v>9</v>
      </c>
    </row>
    <row r="10" spans="1:4" ht="18" x14ac:dyDescent="0.35">
      <c r="A10" s="15">
        <v>5</v>
      </c>
      <c r="B10" s="16" t="s">
        <v>33</v>
      </c>
      <c r="C10" s="41">
        <v>41</v>
      </c>
      <c r="D10" s="18">
        <v>23</v>
      </c>
    </row>
    <row r="11" spans="1:4" ht="18" x14ac:dyDescent="0.35">
      <c r="A11" s="15">
        <v>6</v>
      </c>
      <c r="B11" s="16" t="s">
        <v>34</v>
      </c>
      <c r="C11" s="41">
        <v>4</v>
      </c>
      <c r="D11" s="18">
        <v>0</v>
      </c>
    </row>
    <row r="12" spans="1:4" ht="18" x14ac:dyDescent="0.35">
      <c r="A12" s="15">
        <v>7</v>
      </c>
      <c r="B12" s="16" t="s">
        <v>35</v>
      </c>
      <c r="C12" s="41">
        <v>7</v>
      </c>
      <c r="D12" s="18">
        <v>0</v>
      </c>
    </row>
    <row r="13" spans="1:4" ht="18" x14ac:dyDescent="0.35">
      <c r="A13" s="15">
        <v>8</v>
      </c>
      <c r="B13" s="16" t="s">
        <v>36</v>
      </c>
      <c r="C13" s="41">
        <v>57</v>
      </c>
      <c r="D13" s="18">
        <v>48</v>
      </c>
    </row>
    <row r="14" spans="1:4" ht="18" x14ac:dyDescent="0.35">
      <c r="A14" s="15">
        <v>9</v>
      </c>
      <c r="B14" s="16" t="s">
        <v>37</v>
      </c>
      <c r="C14" s="41">
        <v>0</v>
      </c>
      <c r="D14" s="18">
        <v>0</v>
      </c>
    </row>
    <row r="15" spans="1:4" ht="18" x14ac:dyDescent="0.35">
      <c r="A15" s="15">
        <v>10</v>
      </c>
      <c r="B15" s="16" t="s">
        <v>38</v>
      </c>
      <c r="C15" s="41">
        <v>0</v>
      </c>
      <c r="D15" s="18">
        <v>0</v>
      </c>
    </row>
    <row r="16" spans="1:4" ht="18" x14ac:dyDescent="0.35">
      <c r="A16" s="21">
        <v>11</v>
      </c>
      <c r="B16" s="37" t="s">
        <v>70</v>
      </c>
      <c r="C16" s="41">
        <v>0</v>
      </c>
      <c r="D16" s="18">
        <v>0</v>
      </c>
    </row>
    <row r="17" spans="1:5" ht="21" x14ac:dyDescent="0.35">
      <c r="A17" s="21">
        <v>12</v>
      </c>
      <c r="B17" s="37" t="s">
        <v>57</v>
      </c>
      <c r="C17" s="41">
        <v>0</v>
      </c>
      <c r="D17" s="26">
        <v>1</v>
      </c>
    </row>
    <row r="18" spans="1:5" ht="21" x14ac:dyDescent="0.25">
      <c r="A18" s="48" t="s">
        <v>39</v>
      </c>
      <c r="B18" s="49"/>
      <c r="C18" s="17">
        <f>SUM(C6:C17)</f>
        <v>192</v>
      </c>
      <c r="D18" s="18">
        <f>SUM(D6:D17)</f>
        <v>113</v>
      </c>
    </row>
    <row r="19" spans="1:5" ht="23.4" x14ac:dyDescent="0.25">
      <c r="A19" s="50" t="s">
        <v>40</v>
      </c>
      <c r="B19" s="55"/>
      <c r="C19" s="55"/>
      <c r="D19" s="55"/>
      <c r="E19" s="55"/>
    </row>
    <row r="20" spans="1:5" ht="21" x14ac:dyDescent="0.4">
      <c r="A20" s="7"/>
      <c r="B20" s="12" t="s">
        <v>56</v>
      </c>
      <c r="C20" s="10"/>
      <c r="D20" s="10"/>
      <c r="E20" s="10"/>
    </row>
    <row r="21" spans="1:5" ht="21" x14ac:dyDescent="0.4">
      <c r="A21" s="7"/>
      <c r="B21" s="36">
        <v>244379</v>
      </c>
      <c r="C21" s="56" t="s">
        <v>26</v>
      </c>
      <c r="D21" s="57" t="s">
        <v>0</v>
      </c>
      <c r="E21" s="53" t="s">
        <v>27</v>
      </c>
    </row>
    <row r="22" spans="1:5" ht="21" x14ac:dyDescent="0.4">
      <c r="A22" s="23" t="s">
        <v>28</v>
      </c>
      <c r="B22" s="23" t="s">
        <v>0</v>
      </c>
      <c r="C22" s="51"/>
      <c r="D22" s="58"/>
      <c r="E22" s="59"/>
    </row>
    <row r="23" spans="1:5" ht="36" x14ac:dyDescent="0.35">
      <c r="A23" s="15">
        <v>1</v>
      </c>
      <c r="B23" s="24" t="s">
        <v>41</v>
      </c>
      <c r="C23" s="25">
        <v>177</v>
      </c>
      <c r="D23" s="33" t="s">
        <v>42</v>
      </c>
      <c r="E23" s="18">
        <v>76</v>
      </c>
    </row>
    <row r="24" spans="1:5" ht="36" x14ac:dyDescent="0.35">
      <c r="A24" s="15">
        <v>2</v>
      </c>
      <c r="B24" s="24" t="s">
        <v>43</v>
      </c>
      <c r="C24" s="25">
        <v>168</v>
      </c>
      <c r="D24" s="33" t="s">
        <v>53</v>
      </c>
      <c r="E24" s="18">
        <v>111</v>
      </c>
    </row>
    <row r="25" spans="1:5" ht="18" x14ac:dyDescent="0.35">
      <c r="A25" s="15">
        <v>3</v>
      </c>
      <c r="B25" s="24" t="s">
        <v>44</v>
      </c>
      <c r="C25" s="27">
        <v>32</v>
      </c>
      <c r="D25" s="34" t="s">
        <v>45</v>
      </c>
      <c r="E25" s="18">
        <v>52</v>
      </c>
    </row>
    <row r="26" spans="1:5" ht="21" x14ac:dyDescent="0.4">
      <c r="A26" s="15">
        <v>4</v>
      </c>
      <c r="B26" s="24" t="s">
        <v>46</v>
      </c>
      <c r="C26" s="27">
        <v>10</v>
      </c>
      <c r="D26" s="3" t="s">
        <v>54</v>
      </c>
      <c r="E26" s="41">
        <v>2</v>
      </c>
    </row>
    <row r="27" spans="1:5" ht="21" x14ac:dyDescent="0.4">
      <c r="A27" s="15">
        <v>5</v>
      </c>
      <c r="B27" s="24" t="s">
        <v>47</v>
      </c>
      <c r="C27" s="27">
        <v>150</v>
      </c>
      <c r="D27" s="3" t="s">
        <v>58</v>
      </c>
      <c r="E27" s="2">
        <v>0</v>
      </c>
    </row>
    <row r="28" spans="1:5" ht="36" x14ac:dyDescent="0.35">
      <c r="A28" s="15">
        <v>6</v>
      </c>
      <c r="B28" s="24" t="s">
        <v>48</v>
      </c>
      <c r="C28" s="27">
        <v>162</v>
      </c>
      <c r="D28" s="28"/>
      <c r="E28" s="35"/>
    </row>
    <row r="29" spans="1:5" ht="18" x14ac:dyDescent="0.35">
      <c r="A29" s="15">
        <v>7</v>
      </c>
      <c r="B29" s="24" t="s">
        <v>49</v>
      </c>
      <c r="C29" s="27">
        <v>9</v>
      </c>
      <c r="D29" s="28"/>
      <c r="E29" s="29"/>
    </row>
    <row r="30" spans="1:5" ht="18" x14ac:dyDescent="0.35">
      <c r="A30" s="15">
        <v>8</v>
      </c>
      <c r="B30" s="24" t="s">
        <v>50</v>
      </c>
      <c r="C30" s="27">
        <v>75</v>
      </c>
      <c r="D30" s="28"/>
      <c r="E30" s="29"/>
    </row>
    <row r="31" spans="1:5" ht="36" x14ac:dyDescent="0.35">
      <c r="A31" s="15">
        <v>9</v>
      </c>
      <c r="B31" s="24" t="s">
        <v>51</v>
      </c>
      <c r="C31" s="27">
        <v>165</v>
      </c>
      <c r="D31" s="28"/>
      <c r="E31" s="29"/>
    </row>
    <row r="32" spans="1:5" ht="18" x14ac:dyDescent="0.35">
      <c r="A32" s="15">
        <v>10</v>
      </c>
      <c r="B32" s="24" t="s">
        <v>52</v>
      </c>
      <c r="C32" s="38">
        <v>146</v>
      </c>
      <c r="D32" s="28"/>
      <c r="E32" s="29"/>
    </row>
    <row r="33" spans="1:5" ht="21" x14ac:dyDescent="0.35">
      <c r="A33" s="48" t="s">
        <v>39</v>
      </c>
      <c r="B33" s="49"/>
      <c r="C33" s="30">
        <f>SUM(C23:C32)</f>
        <v>1094</v>
      </c>
      <c r="D33" s="31"/>
      <c r="E33" s="32">
        <f>SUM(E23:E32)</f>
        <v>241</v>
      </c>
    </row>
  </sheetData>
  <mergeCells count="9">
    <mergeCell ref="A33:B33"/>
    <mergeCell ref="A1:D1"/>
    <mergeCell ref="C4:C5"/>
    <mergeCell ref="D4:D5"/>
    <mergeCell ref="A18:B18"/>
    <mergeCell ref="A19:E19"/>
    <mergeCell ref="C21:C22"/>
    <mergeCell ref="D21:D22"/>
    <mergeCell ref="E21:E22"/>
  </mergeCells>
  <pageMargins left="0.11811023622047245" right="0.11811023622047245" top="0.15748031496062992" bottom="0.15748031496062992" header="0.31496062992125984" footer="0.31496062992125984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6135-B759-429E-A9A5-D157A2459692}">
  <dimension ref="A1:K28"/>
  <sheetViews>
    <sheetView workbookViewId="0">
      <selection activeCell="K12" sqref="K12"/>
    </sheetView>
  </sheetViews>
  <sheetFormatPr defaultRowHeight="21" x14ac:dyDescent="0.4"/>
  <cols>
    <col min="1" max="1" width="32.09765625" style="1" customWidth="1"/>
    <col min="2" max="2" width="18.8984375" style="1" customWidth="1"/>
    <col min="3" max="3" width="7.59765625" style="1" bestFit="1" customWidth="1"/>
    <col min="4" max="4" width="9.09765625" style="1" customWidth="1"/>
    <col min="5" max="5" width="8.5" style="1" customWidth="1"/>
    <col min="6" max="6" width="7.5" style="1" customWidth="1"/>
    <col min="7" max="7" width="10" style="1" customWidth="1"/>
    <col min="8" max="16384" width="8.796875" style="1"/>
  </cols>
  <sheetData>
    <row r="1" spans="1:7" x14ac:dyDescent="0.4">
      <c r="A1" s="42" t="s">
        <v>69</v>
      </c>
      <c r="B1" s="42"/>
      <c r="C1" s="42"/>
      <c r="D1" s="42"/>
      <c r="E1" s="42"/>
      <c r="F1" s="7"/>
      <c r="G1" s="7"/>
    </row>
    <row r="2" spans="1:7" x14ac:dyDescent="0.4">
      <c r="A2" s="42" t="s">
        <v>108</v>
      </c>
      <c r="B2" s="42"/>
      <c r="C2" s="42"/>
      <c r="D2" s="42"/>
      <c r="E2" s="42"/>
      <c r="F2" s="7"/>
      <c r="G2" s="7"/>
    </row>
    <row r="3" spans="1:7" x14ac:dyDescent="0.4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18</v>
      </c>
      <c r="G3" s="8" t="s">
        <v>19</v>
      </c>
    </row>
    <row r="4" spans="1:7" x14ac:dyDescent="0.4">
      <c r="A4" s="3" t="s">
        <v>5</v>
      </c>
      <c r="B4" s="40" t="s">
        <v>96</v>
      </c>
      <c r="C4" s="3"/>
      <c r="D4" s="3"/>
      <c r="E4" s="3"/>
      <c r="F4" s="3"/>
      <c r="G4" s="3"/>
    </row>
    <row r="5" spans="1:7" x14ac:dyDescent="0.4">
      <c r="A5" s="3" t="s">
        <v>6</v>
      </c>
      <c r="B5" s="2" t="s">
        <v>97</v>
      </c>
      <c r="C5" s="3"/>
      <c r="D5" s="3"/>
      <c r="E5" s="3"/>
      <c r="F5" s="3"/>
      <c r="G5" s="3"/>
    </row>
    <row r="6" spans="1:7" x14ac:dyDescent="0.4">
      <c r="A6" s="3" t="s">
        <v>7</v>
      </c>
      <c r="B6" s="5" t="s">
        <v>98</v>
      </c>
      <c r="C6" s="3"/>
      <c r="D6" s="3"/>
      <c r="E6" s="3"/>
      <c r="F6" s="3"/>
      <c r="G6" s="3"/>
    </row>
    <row r="7" spans="1:7" x14ac:dyDescent="0.4">
      <c r="A7" s="3" t="s">
        <v>8</v>
      </c>
      <c r="B7" s="4" t="s">
        <v>99</v>
      </c>
      <c r="C7" s="3"/>
      <c r="D7" s="3"/>
      <c r="E7" s="3"/>
      <c r="F7" s="3"/>
      <c r="G7" s="3"/>
    </row>
    <row r="8" spans="1:7" x14ac:dyDescent="0.4">
      <c r="A8" s="3" t="s">
        <v>10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1</v>
      </c>
    </row>
    <row r="9" spans="1:7" x14ac:dyDescent="0.4">
      <c r="A9" s="3" t="s">
        <v>15</v>
      </c>
      <c r="B9" s="2">
        <v>0</v>
      </c>
      <c r="C9" s="2"/>
      <c r="D9" s="2"/>
      <c r="E9" s="2"/>
      <c r="F9" s="2"/>
      <c r="G9" s="2"/>
    </row>
    <row r="10" spans="1:7" x14ac:dyDescent="0.4">
      <c r="A10" s="3" t="s">
        <v>20</v>
      </c>
      <c r="B10" s="2">
        <v>120</v>
      </c>
      <c r="C10" s="3"/>
      <c r="D10" s="3"/>
      <c r="E10" s="3"/>
      <c r="F10" s="2"/>
      <c r="G10" s="3"/>
    </row>
    <row r="11" spans="1:7" x14ac:dyDescent="0.4">
      <c r="A11" s="3" t="s">
        <v>11</v>
      </c>
      <c r="B11" s="2">
        <v>16</v>
      </c>
      <c r="C11" s="3"/>
      <c r="D11" s="3"/>
      <c r="E11" s="3"/>
      <c r="F11" s="3"/>
      <c r="G11" s="3"/>
    </row>
    <row r="12" spans="1:7" x14ac:dyDescent="0.4">
      <c r="A12" s="3" t="s">
        <v>22</v>
      </c>
      <c r="B12" s="2">
        <v>1</v>
      </c>
      <c r="C12" s="3"/>
      <c r="D12" s="3"/>
      <c r="E12" s="3"/>
      <c r="F12" s="3"/>
      <c r="G12" s="3"/>
    </row>
    <row r="13" spans="1:7" x14ac:dyDescent="0.4">
      <c r="A13" s="3" t="s">
        <v>17</v>
      </c>
      <c r="B13" s="39">
        <v>2</v>
      </c>
      <c r="C13" s="3"/>
      <c r="D13" s="3"/>
      <c r="E13" s="3"/>
      <c r="F13" s="3"/>
      <c r="G13" s="3"/>
    </row>
    <row r="14" spans="1:7" x14ac:dyDescent="0.4">
      <c r="A14" s="43" t="s">
        <v>12</v>
      </c>
      <c r="B14" s="44"/>
      <c r="C14" s="44"/>
      <c r="D14" s="44"/>
      <c r="E14" s="44"/>
      <c r="F14" s="44"/>
      <c r="G14" s="45"/>
    </row>
    <row r="15" spans="1:7" x14ac:dyDescent="0.4">
      <c r="A15" s="3" t="s">
        <v>14</v>
      </c>
      <c r="B15" s="2">
        <v>509</v>
      </c>
      <c r="C15" s="3"/>
      <c r="D15" s="3"/>
      <c r="E15" s="3"/>
      <c r="F15" s="3"/>
      <c r="G15" s="3"/>
    </row>
    <row r="16" spans="1:7" x14ac:dyDescent="0.4">
      <c r="A16" s="3" t="s">
        <v>87</v>
      </c>
      <c r="B16" s="2">
        <v>198</v>
      </c>
      <c r="C16" s="3"/>
      <c r="D16" s="3"/>
      <c r="E16" s="3"/>
      <c r="F16" s="3"/>
      <c r="G16" s="3"/>
    </row>
    <row r="17" spans="1:11" x14ac:dyDescent="0.4">
      <c r="A17" s="3" t="s">
        <v>81</v>
      </c>
      <c r="B17" s="2">
        <v>135</v>
      </c>
      <c r="C17" s="3"/>
      <c r="D17" s="3"/>
      <c r="E17" s="3"/>
      <c r="F17" s="3"/>
      <c r="G17" s="3"/>
    </row>
    <row r="18" spans="1:11" x14ac:dyDescent="0.4">
      <c r="A18" s="3" t="s">
        <v>105</v>
      </c>
      <c r="B18" s="2">
        <v>48</v>
      </c>
      <c r="C18" s="3"/>
      <c r="D18" s="3"/>
      <c r="E18" s="3"/>
      <c r="F18" s="3"/>
      <c r="G18" s="3"/>
    </row>
    <row r="19" spans="1:11" x14ac:dyDescent="0.4">
      <c r="A19" s="3" t="s">
        <v>106</v>
      </c>
      <c r="B19" s="2">
        <v>45</v>
      </c>
      <c r="C19" s="3"/>
      <c r="D19" s="3"/>
      <c r="E19" s="3"/>
      <c r="F19" s="3"/>
      <c r="G19" s="3"/>
    </row>
    <row r="20" spans="1:11" x14ac:dyDescent="0.4">
      <c r="A20" s="43" t="s">
        <v>13</v>
      </c>
      <c r="B20" s="44"/>
      <c r="C20" s="44"/>
      <c r="D20" s="44"/>
      <c r="E20" s="44"/>
      <c r="F20" s="44"/>
      <c r="G20" s="45"/>
      <c r="K20" s="1" t="s">
        <v>21</v>
      </c>
    </row>
    <row r="21" spans="1:11" x14ac:dyDescent="0.4">
      <c r="A21" s="3" t="s">
        <v>100</v>
      </c>
      <c r="B21" s="2">
        <v>26</v>
      </c>
      <c r="C21" s="3"/>
      <c r="D21" s="3"/>
      <c r="E21" s="3"/>
      <c r="F21" s="3"/>
      <c r="G21" s="3"/>
    </row>
    <row r="22" spans="1:11" x14ac:dyDescent="0.4">
      <c r="A22" s="3" t="s">
        <v>101</v>
      </c>
      <c r="B22" s="2">
        <v>16</v>
      </c>
      <c r="C22" s="3"/>
      <c r="D22" s="3"/>
      <c r="E22" s="3"/>
      <c r="F22" s="3"/>
      <c r="G22" s="3"/>
    </row>
    <row r="23" spans="1:11" x14ac:dyDescent="0.4">
      <c r="A23" s="3" t="s">
        <v>102</v>
      </c>
      <c r="B23" s="2">
        <v>15</v>
      </c>
      <c r="C23" s="3"/>
      <c r="D23" s="3"/>
      <c r="E23" s="3"/>
      <c r="F23" s="3"/>
      <c r="G23" s="3"/>
    </row>
    <row r="24" spans="1:11" x14ac:dyDescent="0.4">
      <c r="A24" s="3" t="s">
        <v>103</v>
      </c>
      <c r="B24" s="2">
        <v>13</v>
      </c>
      <c r="C24" s="3"/>
      <c r="D24" s="3"/>
      <c r="E24" s="3"/>
      <c r="F24" s="3"/>
      <c r="G24" s="3"/>
    </row>
    <row r="25" spans="1:11" x14ac:dyDescent="0.4">
      <c r="A25" s="3" t="s">
        <v>104</v>
      </c>
      <c r="B25" s="2">
        <v>6</v>
      </c>
      <c r="C25" s="3"/>
      <c r="D25" s="3"/>
      <c r="E25" s="3"/>
      <c r="F25" s="3"/>
      <c r="G25" s="3"/>
    </row>
    <row r="26" spans="1:11" x14ac:dyDescent="0.4">
      <c r="A26" s="3"/>
      <c r="B26" s="2"/>
      <c r="C26" s="3"/>
      <c r="D26" s="3"/>
      <c r="E26" s="3"/>
      <c r="F26" s="3"/>
      <c r="G26" s="3"/>
    </row>
    <row r="27" spans="1:11" x14ac:dyDescent="0.4">
      <c r="A27" s="46"/>
      <c r="B27" s="46"/>
      <c r="C27" s="46"/>
      <c r="D27" s="46"/>
      <c r="E27" s="46"/>
    </row>
    <row r="28" spans="1:11" x14ac:dyDescent="0.4">
      <c r="A28" s="47"/>
      <c r="B28" s="47"/>
      <c r="C28" s="47"/>
      <c r="D28" s="47"/>
      <c r="E28" s="47"/>
    </row>
  </sheetData>
  <mergeCells count="6">
    <mergeCell ref="A28:E28"/>
    <mergeCell ref="A1:E1"/>
    <mergeCell ref="A2:E2"/>
    <mergeCell ref="A14:G14"/>
    <mergeCell ref="A20:G20"/>
    <mergeCell ref="A27:E27"/>
  </mergeCells>
  <pageMargins left="0.43307086614173229" right="0.23622047244094491" top="0.74803149606299213" bottom="0.74803149606299213" header="0.31496062992125984" footer="0.31496062992125984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136A-5656-428A-BA35-F7B93139EB48}">
  <dimension ref="A1:E33"/>
  <sheetViews>
    <sheetView topLeftCell="A10" zoomScale="94" zoomScaleNormal="94" workbookViewId="0">
      <selection activeCell="F17" sqref="F17"/>
    </sheetView>
  </sheetViews>
  <sheetFormatPr defaultRowHeight="13.8" x14ac:dyDescent="0.25"/>
  <cols>
    <col min="1" max="1" width="5.19921875" bestFit="1" customWidth="1"/>
    <col min="2" max="2" width="36.09765625" bestFit="1" customWidth="1"/>
    <col min="3" max="3" width="10.8984375" customWidth="1"/>
    <col min="4" max="4" width="25.3984375" customWidth="1"/>
    <col min="5" max="5" width="18.19921875" bestFit="1" customWidth="1"/>
  </cols>
  <sheetData>
    <row r="1" spans="1:4" ht="23.4" x14ac:dyDescent="0.25">
      <c r="A1" s="50" t="s">
        <v>25</v>
      </c>
      <c r="B1" s="50"/>
      <c r="C1" s="50"/>
      <c r="D1" s="50"/>
    </row>
    <row r="2" spans="1:4" ht="21" x14ac:dyDescent="0.4">
      <c r="A2" s="11"/>
      <c r="B2" s="9"/>
      <c r="C2" s="9"/>
      <c r="D2" s="9"/>
    </row>
    <row r="3" spans="1:4" ht="21" x14ac:dyDescent="0.4">
      <c r="A3" s="11"/>
      <c r="B3" s="12" t="s">
        <v>56</v>
      </c>
      <c r="C3" s="10"/>
      <c r="D3" s="10"/>
    </row>
    <row r="4" spans="1:4" ht="21" x14ac:dyDescent="0.4">
      <c r="A4" s="11"/>
      <c r="B4" s="36">
        <v>244348</v>
      </c>
      <c r="C4" s="51" t="s">
        <v>26</v>
      </c>
      <c r="D4" s="53" t="s">
        <v>27</v>
      </c>
    </row>
    <row r="5" spans="1:4" ht="21" x14ac:dyDescent="0.4">
      <c r="A5" s="13" t="s">
        <v>28</v>
      </c>
      <c r="B5" s="14" t="s">
        <v>0</v>
      </c>
      <c r="C5" s="52"/>
      <c r="D5" s="54"/>
    </row>
    <row r="6" spans="1:4" ht="18" x14ac:dyDescent="0.35">
      <c r="A6" s="15">
        <v>1</v>
      </c>
      <c r="B6" s="16" t="s">
        <v>29</v>
      </c>
      <c r="C6" s="17">
        <v>30</v>
      </c>
      <c r="D6" s="18">
        <v>16</v>
      </c>
    </row>
    <row r="7" spans="1:4" ht="18" x14ac:dyDescent="0.35">
      <c r="A7" s="15">
        <v>2</v>
      </c>
      <c r="B7" s="16" t="s">
        <v>30</v>
      </c>
      <c r="C7" s="17">
        <v>17</v>
      </c>
      <c r="D7" s="18">
        <v>9</v>
      </c>
    </row>
    <row r="8" spans="1:4" ht="18" x14ac:dyDescent="0.35">
      <c r="A8" s="15">
        <v>3</v>
      </c>
      <c r="B8" s="19" t="s">
        <v>31</v>
      </c>
      <c r="C8" s="17">
        <v>26</v>
      </c>
      <c r="D8" s="18">
        <v>10</v>
      </c>
    </row>
    <row r="9" spans="1:4" ht="18" x14ac:dyDescent="0.35">
      <c r="A9" s="15">
        <v>4</v>
      </c>
      <c r="B9" s="16" t="s">
        <v>32</v>
      </c>
      <c r="C9" s="17">
        <v>2</v>
      </c>
      <c r="D9" s="18">
        <v>0</v>
      </c>
    </row>
    <row r="10" spans="1:4" ht="18" x14ac:dyDescent="0.35">
      <c r="A10" s="15">
        <v>5</v>
      </c>
      <c r="B10" s="16" t="s">
        <v>33</v>
      </c>
      <c r="C10" s="17">
        <v>11</v>
      </c>
      <c r="D10" s="18">
        <v>8</v>
      </c>
    </row>
    <row r="11" spans="1:4" ht="18" x14ac:dyDescent="0.35">
      <c r="A11" s="15">
        <v>6</v>
      </c>
      <c r="B11" s="16" t="s">
        <v>34</v>
      </c>
      <c r="C11" s="17">
        <v>51</v>
      </c>
      <c r="D11" s="18">
        <v>24</v>
      </c>
    </row>
    <row r="12" spans="1:4" ht="18" x14ac:dyDescent="0.35">
      <c r="A12" s="15">
        <v>7</v>
      </c>
      <c r="B12" s="16" t="s">
        <v>35</v>
      </c>
      <c r="C12" s="17">
        <v>3</v>
      </c>
      <c r="D12" s="18">
        <v>1</v>
      </c>
    </row>
    <row r="13" spans="1:4" ht="18" x14ac:dyDescent="0.35">
      <c r="A13" s="15">
        <v>8</v>
      </c>
      <c r="B13" s="16" t="s">
        <v>36</v>
      </c>
      <c r="C13" s="17">
        <v>3</v>
      </c>
      <c r="D13" s="18">
        <v>0</v>
      </c>
    </row>
    <row r="14" spans="1:4" ht="18" x14ac:dyDescent="0.35">
      <c r="A14" s="15">
        <v>9</v>
      </c>
      <c r="B14" s="16" t="s">
        <v>37</v>
      </c>
      <c r="C14" s="17">
        <v>50</v>
      </c>
      <c r="D14" s="18">
        <v>37</v>
      </c>
    </row>
    <row r="15" spans="1:4" ht="18" x14ac:dyDescent="0.35">
      <c r="A15" s="15">
        <v>10</v>
      </c>
      <c r="B15" s="16" t="s">
        <v>38</v>
      </c>
      <c r="C15" s="17">
        <v>3</v>
      </c>
      <c r="D15" s="18">
        <v>0</v>
      </c>
    </row>
    <row r="16" spans="1:4" ht="18" x14ac:dyDescent="0.35">
      <c r="A16" s="21">
        <v>11</v>
      </c>
      <c r="B16" s="37" t="s">
        <v>70</v>
      </c>
      <c r="C16" s="17">
        <v>0</v>
      </c>
      <c r="D16" s="18">
        <v>0</v>
      </c>
    </row>
    <row r="17" spans="1:5" ht="18" x14ac:dyDescent="0.35">
      <c r="A17" s="21">
        <v>12</v>
      </c>
      <c r="B17" s="37" t="s">
        <v>57</v>
      </c>
      <c r="C17" s="17">
        <v>0</v>
      </c>
      <c r="D17" s="18">
        <v>0</v>
      </c>
    </row>
    <row r="18" spans="1:5" ht="21" x14ac:dyDescent="0.25">
      <c r="A18" s="48" t="s">
        <v>39</v>
      </c>
      <c r="B18" s="49"/>
      <c r="C18" s="17">
        <f>SUM(C6:C17)</f>
        <v>196</v>
      </c>
      <c r="D18" s="18">
        <f>SUM(D6:D17)</f>
        <v>105</v>
      </c>
    </row>
    <row r="19" spans="1:5" ht="23.4" x14ac:dyDescent="0.25">
      <c r="A19" s="50" t="s">
        <v>40</v>
      </c>
      <c r="B19" s="55"/>
      <c r="C19" s="55"/>
      <c r="D19" s="55"/>
      <c r="E19" s="55"/>
    </row>
    <row r="20" spans="1:5" ht="21" x14ac:dyDescent="0.4">
      <c r="A20" s="7"/>
      <c r="B20" s="12" t="s">
        <v>56</v>
      </c>
      <c r="C20" s="10"/>
      <c r="D20" s="10"/>
      <c r="E20" s="10"/>
    </row>
    <row r="21" spans="1:5" ht="21" x14ac:dyDescent="0.4">
      <c r="A21" s="7"/>
      <c r="B21" s="36">
        <v>244348</v>
      </c>
      <c r="C21" s="56" t="s">
        <v>26</v>
      </c>
      <c r="D21" s="57" t="s">
        <v>0</v>
      </c>
      <c r="E21" s="53" t="s">
        <v>27</v>
      </c>
    </row>
    <row r="22" spans="1:5" ht="21" x14ac:dyDescent="0.4">
      <c r="A22" s="23" t="s">
        <v>28</v>
      </c>
      <c r="B22" s="23" t="s">
        <v>0</v>
      </c>
      <c r="C22" s="51"/>
      <c r="D22" s="58"/>
      <c r="E22" s="59"/>
    </row>
    <row r="23" spans="1:5" ht="36" x14ac:dyDescent="0.35">
      <c r="A23" s="15">
        <v>1</v>
      </c>
      <c r="B23" s="24" t="s">
        <v>41</v>
      </c>
      <c r="C23" s="25">
        <v>190</v>
      </c>
      <c r="D23" s="33" t="s">
        <v>42</v>
      </c>
      <c r="E23" s="18">
        <v>83</v>
      </c>
    </row>
    <row r="24" spans="1:5" ht="36" x14ac:dyDescent="0.35">
      <c r="A24" s="15">
        <v>2</v>
      </c>
      <c r="B24" s="24" t="s">
        <v>43</v>
      </c>
      <c r="C24" s="25">
        <v>194</v>
      </c>
      <c r="D24" s="33" t="s">
        <v>53</v>
      </c>
      <c r="E24" s="18">
        <v>106</v>
      </c>
    </row>
    <row r="25" spans="1:5" ht="18" x14ac:dyDescent="0.35">
      <c r="A25" s="15">
        <v>3</v>
      </c>
      <c r="B25" s="24" t="s">
        <v>44</v>
      </c>
      <c r="C25" s="27">
        <v>62</v>
      </c>
      <c r="D25" s="34" t="s">
        <v>45</v>
      </c>
      <c r="E25" s="18">
        <v>37</v>
      </c>
    </row>
    <row r="26" spans="1:5" ht="21" x14ac:dyDescent="0.4">
      <c r="A26" s="15">
        <v>4</v>
      </c>
      <c r="B26" s="24" t="s">
        <v>46</v>
      </c>
      <c r="C26" s="27">
        <v>16</v>
      </c>
      <c r="D26" s="3" t="s">
        <v>54</v>
      </c>
      <c r="E26" s="41">
        <v>5</v>
      </c>
    </row>
    <row r="27" spans="1:5" ht="21" x14ac:dyDescent="0.4">
      <c r="A27" s="15">
        <v>5</v>
      </c>
      <c r="B27" s="24" t="s">
        <v>47</v>
      </c>
      <c r="C27" s="27">
        <v>187</v>
      </c>
      <c r="D27" s="3" t="s">
        <v>58</v>
      </c>
      <c r="E27" s="2">
        <v>0</v>
      </c>
    </row>
    <row r="28" spans="1:5" ht="36" x14ac:dyDescent="0.35">
      <c r="A28" s="15">
        <v>6</v>
      </c>
      <c r="B28" s="24" t="s">
        <v>48</v>
      </c>
      <c r="C28" s="27">
        <v>194</v>
      </c>
      <c r="D28" s="28"/>
      <c r="E28" s="35"/>
    </row>
    <row r="29" spans="1:5" ht="18" x14ac:dyDescent="0.35">
      <c r="A29" s="15">
        <v>7</v>
      </c>
      <c r="B29" s="24" t="s">
        <v>49</v>
      </c>
      <c r="C29" s="27">
        <v>14</v>
      </c>
      <c r="D29" s="28"/>
      <c r="E29" s="29"/>
    </row>
    <row r="30" spans="1:5" ht="18" x14ac:dyDescent="0.35">
      <c r="A30" s="15">
        <v>8</v>
      </c>
      <c r="B30" s="24" t="s">
        <v>50</v>
      </c>
      <c r="C30" s="27">
        <v>82</v>
      </c>
      <c r="D30" s="28"/>
      <c r="E30" s="29"/>
    </row>
    <row r="31" spans="1:5" ht="36" x14ac:dyDescent="0.35">
      <c r="A31" s="15">
        <v>9</v>
      </c>
      <c r="B31" s="24" t="s">
        <v>51</v>
      </c>
      <c r="C31" s="27">
        <v>194</v>
      </c>
      <c r="D31" s="28"/>
      <c r="E31" s="29"/>
    </row>
    <row r="32" spans="1:5" ht="18" x14ac:dyDescent="0.35">
      <c r="A32" s="15">
        <v>10</v>
      </c>
      <c r="B32" s="24" t="s">
        <v>52</v>
      </c>
      <c r="C32" s="38">
        <v>188</v>
      </c>
      <c r="D32" s="28"/>
      <c r="E32" s="29"/>
    </row>
    <row r="33" spans="1:5" ht="21" x14ac:dyDescent="0.35">
      <c r="A33" s="48" t="s">
        <v>39</v>
      </c>
      <c r="B33" s="49"/>
      <c r="C33" s="30">
        <f>SUM(C23:C32)</f>
        <v>1321</v>
      </c>
      <c r="D33" s="31"/>
      <c r="E33" s="32">
        <f>SUM(E23:E32)</f>
        <v>231</v>
      </c>
    </row>
  </sheetData>
  <mergeCells count="9">
    <mergeCell ref="A33:B33"/>
    <mergeCell ref="A1:D1"/>
    <mergeCell ref="C4:C5"/>
    <mergeCell ref="D4:D5"/>
    <mergeCell ref="A18:B18"/>
    <mergeCell ref="A19:E19"/>
    <mergeCell ref="C21:C22"/>
    <mergeCell ref="D21:D22"/>
    <mergeCell ref="E21:E22"/>
  </mergeCells>
  <pageMargins left="0.11811023622047245" right="0.11811023622047245" top="0.15748031496062992" bottom="0.15748031496062992" header="0.31496062992125984" footer="0.31496062992125984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D598-1468-4C42-BC3F-432EBD35C0C3}">
  <dimension ref="A1:K27"/>
  <sheetViews>
    <sheetView workbookViewId="0">
      <selection activeCell="B11" sqref="B11"/>
    </sheetView>
  </sheetViews>
  <sheetFormatPr defaultRowHeight="21" x14ac:dyDescent="0.4"/>
  <cols>
    <col min="1" max="1" width="36.19921875" style="1" bestFit="1" customWidth="1"/>
    <col min="2" max="2" width="18.8984375" style="1" customWidth="1"/>
    <col min="3" max="3" width="7.59765625" style="1" bestFit="1" customWidth="1"/>
    <col min="4" max="4" width="9.09765625" style="1" customWidth="1"/>
    <col min="5" max="5" width="9.69921875" style="1" customWidth="1"/>
    <col min="6" max="6" width="7.5" style="1" customWidth="1"/>
    <col min="7" max="7" width="10" style="1" customWidth="1"/>
    <col min="8" max="16384" width="8.796875" style="1"/>
  </cols>
  <sheetData>
    <row r="1" spans="1:7" x14ac:dyDescent="0.4">
      <c r="A1" s="42" t="s">
        <v>69</v>
      </c>
      <c r="B1" s="42"/>
      <c r="C1" s="42"/>
      <c r="D1" s="42"/>
      <c r="E1" s="42"/>
      <c r="F1" s="7"/>
      <c r="G1" s="7"/>
    </row>
    <row r="2" spans="1:7" x14ac:dyDescent="0.4">
      <c r="A2" s="42" t="s">
        <v>95</v>
      </c>
      <c r="B2" s="42"/>
      <c r="C2" s="42"/>
      <c r="D2" s="42"/>
      <c r="E2" s="42"/>
      <c r="F2" s="7"/>
      <c r="G2" s="7"/>
    </row>
    <row r="3" spans="1:7" x14ac:dyDescent="0.4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18</v>
      </c>
      <c r="G3" s="8" t="s">
        <v>19</v>
      </c>
    </row>
    <row r="4" spans="1:7" x14ac:dyDescent="0.4">
      <c r="A4" s="3" t="s">
        <v>5</v>
      </c>
      <c r="B4" s="40" t="s">
        <v>94</v>
      </c>
      <c r="C4" s="3"/>
      <c r="D4" s="3"/>
      <c r="E4" s="3"/>
      <c r="F4" s="3"/>
      <c r="G4" s="3"/>
    </row>
    <row r="5" spans="1:7" x14ac:dyDescent="0.4">
      <c r="A5" s="3" t="s">
        <v>6</v>
      </c>
      <c r="B5" s="2" t="s">
        <v>84</v>
      </c>
      <c r="C5" s="3"/>
      <c r="D5" s="3"/>
      <c r="E5" s="3"/>
      <c r="F5" s="3"/>
      <c r="G5" s="3"/>
    </row>
    <row r="6" spans="1:7" x14ac:dyDescent="0.4">
      <c r="A6" s="3" t="s">
        <v>7</v>
      </c>
      <c r="B6" s="5" t="s">
        <v>85</v>
      </c>
      <c r="C6" s="3"/>
      <c r="D6" s="3"/>
      <c r="E6" s="3"/>
      <c r="F6" s="3"/>
      <c r="G6" s="3"/>
    </row>
    <row r="7" spans="1:7" x14ac:dyDescent="0.4">
      <c r="A7" s="3" t="s">
        <v>8</v>
      </c>
      <c r="B7" s="4" t="s">
        <v>86</v>
      </c>
      <c r="C7" s="3"/>
      <c r="D7" s="3"/>
      <c r="E7" s="3"/>
      <c r="F7" s="3"/>
      <c r="G7" s="3"/>
    </row>
    <row r="8" spans="1:7" x14ac:dyDescent="0.4">
      <c r="A8" s="3" t="s">
        <v>10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1</v>
      </c>
    </row>
    <row r="9" spans="1:7" x14ac:dyDescent="0.4">
      <c r="A9" s="3" t="s">
        <v>15</v>
      </c>
      <c r="B9" s="2">
        <v>1</v>
      </c>
      <c r="C9" s="2">
        <v>0</v>
      </c>
      <c r="D9" s="2">
        <v>1</v>
      </c>
      <c r="E9" s="2">
        <v>0</v>
      </c>
      <c r="F9" s="2">
        <v>0</v>
      </c>
      <c r="G9" s="2">
        <v>1</v>
      </c>
    </row>
    <row r="10" spans="1:7" x14ac:dyDescent="0.4">
      <c r="A10" s="3" t="s">
        <v>20</v>
      </c>
      <c r="B10" s="2">
        <v>131</v>
      </c>
      <c r="C10" s="3"/>
      <c r="D10" s="3"/>
      <c r="E10" s="3"/>
      <c r="F10" s="2"/>
      <c r="G10" s="3"/>
    </row>
    <row r="11" spans="1:7" x14ac:dyDescent="0.4">
      <c r="A11" s="3" t="s">
        <v>11</v>
      </c>
      <c r="B11" s="2">
        <v>12</v>
      </c>
      <c r="C11" s="3"/>
      <c r="D11" s="3"/>
      <c r="E11" s="3"/>
      <c r="F11" s="3"/>
      <c r="G11" s="3"/>
    </row>
    <row r="12" spans="1:7" x14ac:dyDescent="0.4">
      <c r="A12" s="3" t="s">
        <v>82</v>
      </c>
      <c r="B12" s="2">
        <v>0</v>
      </c>
      <c r="C12" s="3"/>
      <c r="D12" s="3"/>
      <c r="E12" s="3"/>
      <c r="F12" s="3"/>
      <c r="G12" s="3"/>
    </row>
    <row r="13" spans="1:7" x14ac:dyDescent="0.4">
      <c r="A13" s="3" t="s">
        <v>17</v>
      </c>
      <c r="B13" s="39">
        <v>6</v>
      </c>
      <c r="C13" s="3"/>
      <c r="D13" s="3"/>
      <c r="E13" s="3"/>
      <c r="F13" s="3"/>
      <c r="G13" s="3"/>
    </row>
    <row r="14" spans="1:7" x14ac:dyDescent="0.4">
      <c r="A14" s="43" t="s">
        <v>12</v>
      </c>
      <c r="B14" s="44"/>
      <c r="C14" s="44"/>
      <c r="D14" s="44"/>
      <c r="E14" s="44"/>
      <c r="F14" s="44"/>
      <c r="G14" s="45"/>
    </row>
    <row r="15" spans="1:7" x14ac:dyDescent="0.4">
      <c r="A15" s="3" t="s">
        <v>14</v>
      </c>
      <c r="B15" s="2">
        <v>438</v>
      </c>
      <c r="C15" s="3"/>
      <c r="D15" s="3"/>
      <c r="E15" s="3"/>
      <c r="F15" s="3"/>
      <c r="G15" s="3"/>
    </row>
    <row r="16" spans="1:7" x14ac:dyDescent="0.4">
      <c r="A16" s="3" t="s">
        <v>87</v>
      </c>
      <c r="B16" s="2">
        <v>313</v>
      </c>
      <c r="C16" s="3"/>
      <c r="D16" s="3"/>
      <c r="E16" s="3"/>
      <c r="F16" s="3"/>
      <c r="G16" s="3"/>
    </row>
    <row r="17" spans="1:11" x14ac:dyDescent="0.4">
      <c r="A17" s="3" t="s">
        <v>88</v>
      </c>
      <c r="B17" s="2">
        <v>144</v>
      </c>
      <c r="C17" s="3"/>
      <c r="D17" s="3"/>
      <c r="E17" s="3"/>
      <c r="F17" s="3"/>
      <c r="G17" s="3"/>
    </row>
    <row r="18" spans="1:11" x14ac:dyDescent="0.4">
      <c r="A18" s="3" t="s">
        <v>81</v>
      </c>
      <c r="B18" s="2">
        <v>142</v>
      </c>
      <c r="C18" s="3"/>
      <c r="D18" s="3"/>
      <c r="E18" s="3"/>
      <c r="F18" s="3"/>
      <c r="G18" s="3"/>
    </row>
    <row r="19" spans="1:11" x14ac:dyDescent="0.4">
      <c r="A19" s="3" t="s">
        <v>24</v>
      </c>
      <c r="B19" s="2">
        <v>53</v>
      </c>
      <c r="C19" s="3"/>
      <c r="D19" s="3"/>
      <c r="E19" s="3"/>
      <c r="F19" s="3"/>
      <c r="G19" s="3"/>
    </row>
    <row r="20" spans="1:11" x14ac:dyDescent="0.4">
      <c r="A20" s="43" t="s">
        <v>13</v>
      </c>
      <c r="B20" s="44"/>
      <c r="C20" s="44"/>
      <c r="D20" s="44"/>
      <c r="E20" s="44"/>
      <c r="F20" s="44"/>
      <c r="G20" s="45"/>
      <c r="K20" s="1" t="s">
        <v>21</v>
      </c>
    </row>
    <row r="21" spans="1:11" x14ac:dyDescent="0.4">
      <c r="A21" s="3" t="s">
        <v>91</v>
      </c>
      <c r="B21" s="2">
        <v>31</v>
      </c>
      <c r="C21" s="3"/>
      <c r="D21" s="3"/>
      <c r="E21" s="3"/>
      <c r="F21" s="3"/>
      <c r="G21" s="3"/>
    </row>
    <row r="22" spans="1:11" x14ac:dyDescent="0.4">
      <c r="A22" s="3" t="s">
        <v>89</v>
      </c>
      <c r="B22" s="2">
        <v>26</v>
      </c>
      <c r="C22" s="3"/>
      <c r="D22" s="3"/>
      <c r="E22" s="3"/>
      <c r="F22" s="3"/>
      <c r="G22" s="3"/>
    </row>
    <row r="23" spans="1:11" x14ac:dyDescent="0.4">
      <c r="A23" s="3" t="s">
        <v>92</v>
      </c>
      <c r="B23" s="2">
        <v>17</v>
      </c>
      <c r="C23" s="3"/>
      <c r="D23" s="3"/>
      <c r="E23" s="3"/>
      <c r="F23" s="3"/>
      <c r="G23" s="3"/>
    </row>
    <row r="24" spans="1:11" x14ac:dyDescent="0.4">
      <c r="A24" s="3" t="s">
        <v>93</v>
      </c>
      <c r="B24" s="2">
        <v>16</v>
      </c>
      <c r="C24" s="3"/>
      <c r="D24" s="3"/>
      <c r="E24" s="3"/>
      <c r="F24" s="3"/>
      <c r="G24" s="3"/>
    </row>
    <row r="25" spans="1:11" x14ac:dyDescent="0.4">
      <c r="A25" s="3" t="s">
        <v>90</v>
      </c>
      <c r="B25" s="2">
        <v>11</v>
      </c>
      <c r="C25" s="3"/>
      <c r="D25" s="3"/>
      <c r="E25" s="3"/>
      <c r="F25" s="3"/>
      <c r="G25" s="3"/>
    </row>
    <row r="26" spans="1:11" x14ac:dyDescent="0.4">
      <c r="A26" s="46"/>
      <c r="B26" s="46"/>
      <c r="C26" s="46"/>
      <c r="D26" s="46"/>
      <c r="E26" s="46"/>
    </row>
    <row r="27" spans="1:11" x14ac:dyDescent="0.4">
      <c r="A27" s="47"/>
      <c r="B27" s="47"/>
      <c r="C27" s="47"/>
      <c r="D27" s="47"/>
      <c r="E27" s="47"/>
    </row>
  </sheetData>
  <mergeCells count="6">
    <mergeCell ref="A27:E27"/>
    <mergeCell ref="A1:E1"/>
    <mergeCell ref="A2:E2"/>
    <mergeCell ref="A14:G14"/>
    <mergeCell ref="A20:G20"/>
    <mergeCell ref="A26:E26"/>
  </mergeCells>
  <pageMargins left="0.25" right="0.25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089D-65A1-41C5-AB6C-2BD1B0FC2E54}">
  <dimension ref="A1:E33"/>
  <sheetViews>
    <sheetView zoomScale="94" zoomScaleNormal="94" workbookViewId="0">
      <selection activeCell="I15" sqref="I15"/>
    </sheetView>
  </sheetViews>
  <sheetFormatPr defaultRowHeight="13.8" x14ac:dyDescent="0.25"/>
  <cols>
    <col min="1" max="1" width="5.19921875" bestFit="1" customWidth="1"/>
    <col min="2" max="2" width="36.09765625" bestFit="1" customWidth="1"/>
    <col min="3" max="3" width="10.8984375" customWidth="1"/>
    <col min="4" max="4" width="25.3984375" customWidth="1"/>
    <col min="5" max="5" width="18.19921875" bestFit="1" customWidth="1"/>
  </cols>
  <sheetData>
    <row r="1" spans="1:4" ht="23.4" x14ac:dyDescent="0.25">
      <c r="A1" s="50" t="s">
        <v>25</v>
      </c>
      <c r="B1" s="50"/>
      <c r="C1" s="50"/>
      <c r="D1" s="50"/>
    </row>
    <row r="2" spans="1:4" ht="21" x14ac:dyDescent="0.4">
      <c r="A2" s="11"/>
      <c r="B2" s="9"/>
      <c r="C2" s="9"/>
      <c r="D2" s="9"/>
    </row>
    <row r="3" spans="1:4" ht="21" x14ac:dyDescent="0.4">
      <c r="A3" s="11"/>
      <c r="B3" s="12" t="s">
        <v>56</v>
      </c>
      <c r="C3" s="10"/>
      <c r="D3" s="10"/>
    </row>
    <row r="4" spans="1:4" ht="21" x14ac:dyDescent="0.4">
      <c r="A4" s="11"/>
      <c r="B4" s="36">
        <v>244318</v>
      </c>
      <c r="C4" s="51" t="s">
        <v>26</v>
      </c>
      <c r="D4" s="53" t="s">
        <v>27</v>
      </c>
    </row>
    <row r="5" spans="1:4" ht="21" x14ac:dyDescent="0.4">
      <c r="A5" s="13" t="s">
        <v>28</v>
      </c>
      <c r="B5" s="14" t="s">
        <v>0</v>
      </c>
      <c r="C5" s="52"/>
      <c r="D5" s="54"/>
    </row>
    <row r="6" spans="1:4" ht="18" x14ac:dyDescent="0.35">
      <c r="A6" s="15">
        <v>1</v>
      </c>
      <c r="B6" s="16" t="s">
        <v>29</v>
      </c>
      <c r="C6" s="17">
        <v>33</v>
      </c>
      <c r="D6" s="18">
        <v>14</v>
      </c>
    </row>
    <row r="7" spans="1:4" ht="18" x14ac:dyDescent="0.35">
      <c r="A7" s="15">
        <v>2</v>
      </c>
      <c r="B7" s="16" t="s">
        <v>30</v>
      </c>
      <c r="C7" s="17">
        <v>13</v>
      </c>
      <c r="D7" s="18">
        <v>2</v>
      </c>
    </row>
    <row r="8" spans="1:4" ht="18" x14ac:dyDescent="0.35">
      <c r="A8" s="15">
        <v>3</v>
      </c>
      <c r="B8" s="19" t="s">
        <v>31</v>
      </c>
      <c r="C8" s="17">
        <v>17</v>
      </c>
      <c r="D8" s="18">
        <v>13</v>
      </c>
    </row>
    <row r="9" spans="1:4" ht="18" x14ac:dyDescent="0.35">
      <c r="A9" s="15">
        <v>4</v>
      </c>
      <c r="B9" s="16" t="s">
        <v>32</v>
      </c>
      <c r="C9" s="17">
        <v>18</v>
      </c>
      <c r="D9" s="18">
        <v>11</v>
      </c>
    </row>
    <row r="10" spans="1:4" ht="18" x14ac:dyDescent="0.35">
      <c r="A10" s="15">
        <v>5</v>
      </c>
      <c r="B10" s="16" t="s">
        <v>33</v>
      </c>
      <c r="C10" s="17">
        <v>46</v>
      </c>
      <c r="D10" s="18">
        <v>20</v>
      </c>
    </row>
    <row r="11" spans="1:4" ht="18" x14ac:dyDescent="0.35">
      <c r="A11" s="15">
        <v>6</v>
      </c>
      <c r="B11" s="16" t="s">
        <v>34</v>
      </c>
      <c r="C11" s="17">
        <v>3</v>
      </c>
      <c r="D11" s="18">
        <v>2</v>
      </c>
    </row>
    <row r="12" spans="1:4" ht="18" x14ac:dyDescent="0.35">
      <c r="A12" s="15">
        <v>7</v>
      </c>
      <c r="B12" s="16" t="s">
        <v>35</v>
      </c>
      <c r="C12" s="17">
        <v>19</v>
      </c>
      <c r="D12" s="18">
        <v>3</v>
      </c>
    </row>
    <row r="13" spans="1:4" ht="18" x14ac:dyDescent="0.35">
      <c r="A13" s="15">
        <v>8</v>
      </c>
      <c r="B13" s="16" t="s">
        <v>36</v>
      </c>
      <c r="C13" s="17">
        <v>49</v>
      </c>
      <c r="D13" s="18">
        <v>40</v>
      </c>
    </row>
    <row r="14" spans="1:4" ht="18" x14ac:dyDescent="0.35">
      <c r="A14" s="15">
        <v>9</v>
      </c>
      <c r="B14" s="16" t="s">
        <v>37</v>
      </c>
      <c r="C14" s="17">
        <v>2</v>
      </c>
      <c r="D14" s="18">
        <v>0</v>
      </c>
    </row>
    <row r="15" spans="1:4" ht="18" x14ac:dyDescent="0.35">
      <c r="A15" s="15">
        <v>10</v>
      </c>
      <c r="B15" s="16" t="s">
        <v>38</v>
      </c>
      <c r="C15" s="17">
        <v>1</v>
      </c>
      <c r="D15" s="18">
        <v>0</v>
      </c>
    </row>
    <row r="16" spans="1:4" ht="18" x14ac:dyDescent="0.35">
      <c r="A16" s="21">
        <v>11</v>
      </c>
      <c r="B16" s="37" t="s">
        <v>70</v>
      </c>
      <c r="C16" s="17">
        <v>1</v>
      </c>
      <c r="D16" s="18">
        <v>0</v>
      </c>
    </row>
    <row r="17" spans="1:5" ht="18" x14ac:dyDescent="0.35">
      <c r="A17" s="21">
        <v>12</v>
      </c>
      <c r="B17" s="37" t="s">
        <v>57</v>
      </c>
      <c r="C17" s="17">
        <v>0</v>
      </c>
      <c r="D17" s="18">
        <v>1</v>
      </c>
    </row>
    <row r="18" spans="1:5" ht="21" x14ac:dyDescent="0.25">
      <c r="A18" s="48" t="s">
        <v>39</v>
      </c>
      <c r="B18" s="49"/>
      <c r="C18" s="17">
        <f>SUM(C6:C17)</f>
        <v>202</v>
      </c>
      <c r="D18" s="18">
        <f>SUM(D6:D17)</f>
        <v>106</v>
      </c>
    </row>
    <row r="19" spans="1:5" ht="23.4" x14ac:dyDescent="0.25">
      <c r="A19" s="50" t="s">
        <v>40</v>
      </c>
      <c r="B19" s="55"/>
      <c r="C19" s="55"/>
      <c r="D19" s="55"/>
      <c r="E19" s="55"/>
    </row>
    <row r="20" spans="1:5" ht="21" x14ac:dyDescent="0.4">
      <c r="A20" s="7"/>
      <c r="B20" s="12" t="s">
        <v>56</v>
      </c>
      <c r="C20" s="10"/>
      <c r="D20" s="10"/>
      <c r="E20" s="10"/>
    </row>
    <row r="21" spans="1:5" ht="21" x14ac:dyDescent="0.4">
      <c r="A21" s="7"/>
      <c r="B21" s="36">
        <v>244318</v>
      </c>
      <c r="C21" s="56" t="s">
        <v>26</v>
      </c>
      <c r="D21" s="57" t="s">
        <v>0</v>
      </c>
      <c r="E21" s="53" t="s">
        <v>27</v>
      </c>
    </row>
    <row r="22" spans="1:5" ht="21" x14ac:dyDescent="0.4">
      <c r="A22" s="23" t="s">
        <v>28</v>
      </c>
      <c r="B22" s="23" t="s">
        <v>0</v>
      </c>
      <c r="C22" s="51"/>
      <c r="D22" s="58"/>
      <c r="E22" s="59"/>
    </row>
    <row r="23" spans="1:5" ht="36" x14ac:dyDescent="0.35">
      <c r="A23" s="15">
        <v>1</v>
      </c>
      <c r="B23" s="24" t="s">
        <v>41</v>
      </c>
      <c r="C23" s="25">
        <v>201</v>
      </c>
      <c r="D23" s="33" t="s">
        <v>42</v>
      </c>
      <c r="E23" s="26">
        <v>94</v>
      </c>
    </row>
    <row r="24" spans="1:5" ht="36" x14ac:dyDescent="0.35">
      <c r="A24" s="15">
        <v>2</v>
      </c>
      <c r="B24" s="24" t="s">
        <v>43</v>
      </c>
      <c r="C24" s="25">
        <v>201</v>
      </c>
      <c r="D24" s="33" t="s">
        <v>53</v>
      </c>
      <c r="E24" s="26">
        <v>106</v>
      </c>
    </row>
    <row r="25" spans="1:5" ht="18" x14ac:dyDescent="0.35">
      <c r="A25" s="15">
        <v>3</v>
      </c>
      <c r="B25" s="24" t="s">
        <v>44</v>
      </c>
      <c r="C25" s="27">
        <v>51</v>
      </c>
      <c r="D25" s="34" t="s">
        <v>45</v>
      </c>
      <c r="E25" s="18">
        <v>28</v>
      </c>
    </row>
    <row r="26" spans="1:5" ht="21" x14ac:dyDescent="0.4">
      <c r="A26" s="15">
        <v>4</v>
      </c>
      <c r="B26" s="24" t="s">
        <v>46</v>
      </c>
      <c r="C26" s="27">
        <v>4</v>
      </c>
      <c r="D26" s="3" t="s">
        <v>54</v>
      </c>
      <c r="E26" s="2">
        <v>4</v>
      </c>
    </row>
    <row r="27" spans="1:5" ht="21" x14ac:dyDescent="0.4">
      <c r="A27" s="15">
        <v>5</v>
      </c>
      <c r="B27" s="24" t="s">
        <v>47</v>
      </c>
      <c r="C27" s="27">
        <v>186</v>
      </c>
      <c r="D27" s="3" t="s">
        <v>58</v>
      </c>
      <c r="E27" s="2">
        <v>3</v>
      </c>
    </row>
    <row r="28" spans="1:5" ht="36" x14ac:dyDescent="0.35">
      <c r="A28" s="15">
        <v>6</v>
      </c>
      <c r="B28" s="24" t="s">
        <v>48</v>
      </c>
      <c r="C28" s="27">
        <v>198</v>
      </c>
      <c r="D28" s="28"/>
      <c r="E28" s="35"/>
    </row>
    <row r="29" spans="1:5" ht="18" x14ac:dyDescent="0.35">
      <c r="A29" s="15">
        <v>7</v>
      </c>
      <c r="B29" s="24" t="s">
        <v>49</v>
      </c>
      <c r="C29" s="27">
        <v>12</v>
      </c>
      <c r="D29" s="28"/>
      <c r="E29" s="29"/>
    </row>
    <row r="30" spans="1:5" ht="18" x14ac:dyDescent="0.35">
      <c r="A30" s="15">
        <v>8</v>
      </c>
      <c r="B30" s="24" t="s">
        <v>50</v>
      </c>
      <c r="C30" s="27">
        <v>97</v>
      </c>
      <c r="D30" s="28"/>
      <c r="E30" s="29"/>
    </row>
    <row r="31" spans="1:5" ht="36" x14ac:dyDescent="0.35">
      <c r="A31" s="15">
        <v>9</v>
      </c>
      <c r="B31" s="24" t="s">
        <v>51</v>
      </c>
      <c r="C31" s="27">
        <v>192</v>
      </c>
      <c r="D31" s="28"/>
      <c r="E31" s="29"/>
    </row>
    <row r="32" spans="1:5" ht="18" x14ac:dyDescent="0.35">
      <c r="A32" s="15">
        <v>10</v>
      </c>
      <c r="B32" s="24" t="s">
        <v>52</v>
      </c>
      <c r="C32" s="38">
        <v>188</v>
      </c>
      <c r="D32" s="28"/>
      <c r="E32" s="29"/>
    </row>
    <row r="33" spans="1:5" ht="21" x14ac:dyDescent="0.35">
      <c r="A33" s="48" t="s">
        <v>39</v>
      </c>
      <c r="B33" s="49"/>
      <c r="C33" s="30">
        <f>SUM(C23:C32)</f>
        <v>1330</v>
      </c>
      <c r="D33" s="31"/>
      <c r="E33" s="32">
        <f>SUM(E23:E32)</f>
        <v>235</v>
      </c>
    </row>
  </sheetData>
  <mergeCells count="9">
    <mergeCell ref="A33:B33"/>
    <mergeCell ref="A1:D1"/>
    <mergeCell ref="C4:C5"/>
    <mergeCell ref="D4:D5"/>
    <mergeCell ref="A18:B18"/>
    <mergeCell ref="A19:E19"/>
    <mergeCell ref="C21:C22"/>
    <mergeCell ref="D21:D22"/>
    <mergeCell ref="E21:E22"/>
  </mergeCells>
  <pageMargins left="0.11811023622047245" right="0.11811023622047245" top="0.15748031496062992" bottom="0.15748031496062992" header="0.31496062992125984" footer="0.31496062992125984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CB1F-7B28-407D-983F-128B2E7C69C3}">
  <dimension ref="A1:K28"/>
  <sheetViews>
    <sheetView workbookViewId="0">
      <selection activeCell="B12" sqref="B12"/>
    </sheetView>
  </sheetViews>
  <sheetFormatPr defaultRowHeight="21" x14ac:dyDescent="0.4"/>
  <cols>
    <col min="1" max="1" width="36.19921875" style="1" bestFit="1" customWidth="1"/>
    <col min="2" max="2" width="18.8984375" style="1" customWidth="1"/>
    <col min="3" max="3" width="7.59765625" style="1" bestFit="1" customWidth="1"/>
    <col min="4" max="4" width="9.09765625" style="1" customWidth="1"/>
    <col min="5" max="5" width="9.69921875" style="1" customWidth="1"/>
    <col min="6" max="6" width="7.5" style="1" customWidth="1"/>
    <col min="7" max="7" width="10" style="1" customWidth="1"/>
    <col min="8" max="16384" width="8.796875" style="1"/>
  </cols>
  <sheetData>
    <row r="1" spans="1:7" x14ac:dyDescent="0.4">
      <c r="A1" s="42" t="s">
        <v>69</v>
      </c>
      <c r="B1" s="42"/>
      <c r="C1" s="42"/>
      <c r="D1" s="42"/>
      <c r="E1" s="42"/>
      <c r="F1" s="7"/>
      <c r="G1" s="7"/>
    </row>
    <row r="2" spans="1:7" x14ac:dyDescent="0.4">
      <c r="A2" s="42" t="s">
        <v>83</v>
      </c>
      <c r="B2" s="42"/>
      <c r="C2" s="42"/>
      <c r="D2" s="42"/>
      <c r="E2" s="42"/>
      <c r="F2" s="7"/>
      <c r="G2" s="7"/>
    </row>
    <row r="3" spans="1:7" x14ac:dyDescent="0.4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18</v>
      </c>
      <c r="G3" s="8" t="s">
        <v>19</v>
      </c>
    </row>
    <row r="4" spans="1:7" x14ac:dyDescent="0.4">
      <c r="A4" s="3" t="s">
        <v>5</v>
      </c>
      <c r="B4" s="6" t="s">
        <v>71</v>
      </c>
      <c r="C4" s="3"/>
      <c r="D4" s="3"/>
      <c r="E4" s="3"/>
      <c r="F4" s="3"/>
      <c r="G4" s="3"/>
    </row>
    <row r="5" spans="1:7" x14ac:dyDescent="0.4">
      <c r="A5" s="3" t="s">
        <v>6</v>
      </c>
      <c r="B5" s="2" t="s">
        <v>72</v>
      </c>
      <c r="C5" s="3"/>
      <c r="D5" s="3"/>
      <c r="E5" s="3"/>
      <c r="F5" s="3"/>
      <c r="G5" s="3"/>
    </row>
    <row r="6" spans="1:7" x14ac:dyDescent="0.4">
      <c r="A6" s="3" t="s">
        <v>7</v>
      </c>
      <c r="B6" s="5" t="s">
        <v>73</v>
      </c>
      <c r="C6" s="3"/>
      <c r="D6" s="3"/>
      <c r="E6" s="3"/>
      <c r="F6" s="3"/>
      <c r="G6" s="3"/>
    </row>
    <row r="7" spans="1:7" x14ac:dyDescent="0.4">
      <c r="A7" s="3" t="s">
        <v>8</v>
      </c>
      <c r="B7" s="4" t="s">
        <v>74</v>
      </c>
      <c r="C7" s="3"/>
      <c r="D7" s="3"/>
      <c r="E7" s="3"/>
      <c r="F7" s="3"/>
      <c r="G7" s="3"/>
    </row>
    <row r="8" spans="1:7" x14ac:dyDescent="0.4">
      <c r="A8" s="3" t="s">
        <v>9</v>
      </c>
      <c r="B8" s="2">
        <v>0</v>
      </c>
      <c r="C8" s="2"/>
      <c r="D8" s="2"/>
      <c r="E8" s="2"/>
      <c r="F8" s="2"/>
      <c r="G8" s="2"/>
    </row>
    <row r="9" spans="1:7" x14ac:dyDescent="0.4">
      <c r="A9" s="3" t="s">
        <v>10</v>
      </c>
      <c r="B9" s="2">
        <v>2</v>
      </c>
      <c r="C9" s="2">
        <v>2</v>
      </c>
      <c r="D9" s="2">
        <v>0</v>
      </c>
      <c r="E9" s="2">
        <v>0</v>
      </c>
      <c r="F9" s="2">
        <v>0</v>
      </c>
      <c r="G9" s="2">
        <v>2</v>
      </c>
    </row>
    <row r="10" spans="1:7" x14ac:dyDescent="0.4">
      <c r="A10" s="3" t="s">
        <v>15</v>
      </c>
      <c r="B10" s="2">
        <v>4</v>
      </c>
      <c r="C10" s="2">
        <v>4</v>
      </c>
      <c r="D10" s="2">
        <v>0</v>
      </c>
      <c r="E10" s="2">
        <v>0</v>
      </c>
      <c r="F10" s="2">
        <v>0</v>
      </c>
      <c r="G10" s="2">
        <v>4</v>
      </c>
    </row>
    <row r="11" spans="1:7" x14ac:dyDescent="0.4">
      <c r="A11" s="3" t="s">
        <v>20</v>
      </c>
      <c r="B11" s="2">
        <v>101</v>
      </c>
      <c r="C11" s="3"/>
      <c r="D11" s="3"/>
      <c r="E11" s="3"/>
      <c r="F11" s="2"/>
      <c r="G11" s="3"/>
    </row>
    <row r="12" spans="1:7" x14ac:dyDescent="0.4">
      <c r="A12" s="3" t="s">
        <v>11</v>
      </c>
      <c r="B12" s="2">
        <v>9</v>
      </c>
      <c r="C12" s="3"/>
      <c r="D12" s="3"/>
      <c r="E12" s="3"/>
      <c r="F12" s="3"/>
      <c r="G12" s="3"/>
    </row>
    <row r="13" spans="1:7" x14ac:dyDescent="0.4">
      <c r="A13" s="3" t="s">
        <v>82</v>
      </c>
      <c r="B13" s="2">
        <v>1</v>
      </c>
      <c r="C13" s="3"/>
      <c r="D13" s="3"/>
      <c r="E13" s="3"/>
      <c r="F13" s="3"/>
      <c r="G13" s="3"/>
    </row>
    <row r="14" spans="1:7" x14ac:dyDescent="0.4">
      <c r="A14" s="3" t="s">
        <v>17</v>
      </c>
      <c r="B14" s="2">
        <v>6</v>
      </c>
      <c r="C14" s="3"/>
      <c r="D14" s="3"/>
      <c r="E14" s="3"/>
      <c r="F14" s="3"/>
      <c r="G14" s="3"/>
    </row>
    <row r="15" spans="1:7" x14ac:dyDescent="0.4">
      <c r="A15" s="43" t="s">
        <v>12</v>
      </c>
      <c r="B15" s="44"/>
      <c r="C15" s="44"/>
      <c r="D15" s="44"/>
      <c r="E15" s="44"/>
      <c r="F15" s="44"/>
      <c r="G15" s="45"/>
    </row>
    <row r="16" spans="1:7" x14ac:dyDescent="0.4">
      <c r="A16" s="3" t="s">
        <v>14</v>
      </c>
      <c r="B16" s="2">
        <v>428</v>
      </c>
      <c r="C16" s="3"/>
      <c r="D16" s="3"/>
      <c r="E16" s="3"/>
      <c r="F16" s="3"/>
      <c r="G16" s="3"/>
    </row>
    <row r="17" spans="1:11" x14ac:dyDescent="0.4">
      <c r="A17" s="3" t="s">
        <v>80</v>
      </c>
      <c r="B17" s="2">
        <v>200</v>
      </c>
      <c r="C17" s="3"/>
      <c r="D17" s="3"/>
      <c r="E17" s="3"/>
      <c r="F17" s="3"/>
      <c r="G17" s="3"/>
    </row>
    <row r="18" spans="1:11" x14ac:dyDescent="0.4">
      <c r="A18" s="3" t="s">
        <v>79</v>
      </c>
      <c r="B18" s="2">
        <v>185</v>
      </c>
      <c r="C18" s="3"/>
      <c r="D18" s="3"/>
      <c r="E18" s="3"/>
      <c r="F18" s="3"/>
      <c r="G18" s="3"/>
    </row>
    <row r="19" spans="1:11" x14ac:dyDescent="0.4">
      <c r="A19" s="3" t="s">
        <v>81</v>
      </c>
      <c r="B19" s="2">
        <v>152</v>
      </c>
      <c r="C19" s="3"/>
      <c r="D19" s="3"/>
      <c r="E19" s="3"/>
      <c r="F19" s="3"/>
      <c r="G19" s="3"/>
    </row>
    <row r="20" spans="1:11" x14ac:dyDescent="0.4">
      <c r="A20" s="3" t="s">
        <v>24</v>
      </c>
      <c r="B20" s="2">
        <v>57</v>
      </c>
      <c r="C20" s="3"/>
      <c r="D20" s="3"/>
      <c r="E20" s="3"/>
      <c r="F20" s="3"/>
      <c r="G20" s="3"/>
    </row>
    <row r="21" spans="1:11" x14ac:dyDescent="0.4">
      <c r="A21" s="43" t="s">
        <v>13</v>
      </c>
      <c r="B21" s="44"/>
      <c r="C21" s="44"/>
      <c r="D21" s="44"/>
      <c r="E21" s="44"/>
      <c r="F21" s="44"/>
      <c r="G21" s="45"/>
      <c r="K21" s="1" t="s">
        <v>21</v>
      </c>
    </row>
    <row r="22" spans="1:11" x14ac:dyDescent="0.4">
      <c r="A22" s="3" t="s">
        <v>59</v>
      </c>
      <c r="B22" s="2">
        <v>22</v>
      </c>
      <c r="C22" s="3"/>
      <c r="D22" s="3"/>
      <c r="E22" s="3"/>
      <c r="F22" s="3"/>
      <c r="G22" s="3"/>
    </row>
    <row r="23" spans="1:11" x14ac:dyDescent="0.4">
      <c r="A23" s="3" t="s">
        <v>75</v>
      </c>
      <c r="B23" s="2">
        <v>12</v>
      </c>
      <c r="C23" s="3"/>
      <c r="D23" s="3"/>
      <c r="E23" s="3"/>
      <c r="F23" s="3"/>
      <c r="G23" s="3"/>
    </row>
    <row r="24" spans="1:11" x14ac:dyDescent="0.4">
      <c r="A24" s="3" t="s">
        <v>76</v>
      </c>
      <c r="B24" s="2">
        <v>11</v>
      </c>
      <c r="C24" s="3"/>
      <c r="D24" s="3"/>
      <c r="E24" s="3"/>
      <c r="F24" s="3"/>
      <c r="G24" s="3"/>
    </row>
    <row r="25" spans="1:11" x14ac:dyDescent="0.4">
      <c r="A25" s="3" t="s">
        <v>77</v>
      </c>
      <c r="B25" s="2">
        <v>9</v>
      </c>
      <c r="C25" s="3"/>
      <c r="D25" s="3"/>
      <c r="E25" s="3"/>
      <c r="F25" s="3"/>
      <c r="G25" s="3"/>
    </row>
    <row r="26" spans="1:11" x14ac:dyDescent="0.4">
      <c r="A26" s="3" t="s">
        <v>78</v>
      </c>
      <c r="B26" s="2">
        <v>8</v>
      </c>
      <c r="C26" s="3"/>
      <c r="D26" s="3"/>
      <c r="E26" s="3"/>
      <c r="F26" s="3"/>
      <c r="G26" s="3"/>
    </row>
    <row r="27" spans="1:11" x14ac:dyDescent="0.4">
      <c r="A27" s="46"/>
      <c r="B27" s="46"/>
      <c r="C27" s="46"/>
      <c r="D27" s="46"/>
      <c r="E27" s="46"/>
    </row>
    <row r="28" spans="1:11" x14ac:dyDescent="0.4">
      <c r="A28" s="47"/>
      <c r="B28" s="47"/>
      <c r="C28" s="47"/>
      <c r="D28" s="47"/>
      <c r="E28" s="47"/>
    </row>
  </sheetData>
  <mergeCells count="6">
    <mergeCell ref="A28:E28"/>
    <mergeCell ref="A1:E1"/>
    <mergeCell ref="A2:E2"/>
    <mergeCell ref="A15:G15"/>
    <mergeCell ref="A21:G21"/>
    <mergeCell ref="A27:E27"/>
  </mergeCells>
  <pageMargins left="0.25" right="0.25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A7F7-F0DC-4782-A007-BD6E9A838DFE}">
  <dimension ref="A1:E32"/>
  <sheetViews>
    <sheetView zoomScale="94" zoomScaleNormal="94" workbookViewId="0">
      <selection activeCell="J30" sqref="J30"/>
    </sheetView>
  </sheetViews>
  <sheetFormatPr defaultRowHeight="13.8" x14ac:dyDescent="0.25"/>
  <cols>
    <col min="1" max="1" width="5.19921875" bestFit="1" customWidth="1"/>
    <col min="2" max="2" width="36.09765625" bestFit="1" customWidth="1"/>
    <col min="3" max="3" width="10.8984375" customWidth="1"/>
    <col min="4" max="4" width="25.3984375" customWidth="1"/>
    <col min="5" max="5" width="18.19921875" bestFit="1" customWidth="1"/>
  </cols>
  <sheetData>
    <row r="1" spans="1:4" ht="23.4" x14ac:dyDescent="0.25">
      <c r="A1" s="50" t="s">
        <v>25</v>
      </c>
      <c r="B1" s="50"/>
      <c r="C1" s="50"/>
      <c r="D1" s="50"/>
    </row>
    <row r="2" spans="1:4" ht="21" x14ac:dyDescent="0.4">
      <c r="A2" s="11"/>
      <c r="B2" s="9"/>
      <c r="C2" s="9"/>
      <c r="D2" s="9"/>
    </row>
    <row r="3" spans="1:4" ht="21" x14ac:dyDescent="0.4">
      <c r="A3" s="11"/>
      <c r="B3" s="12" t="s">
        <v>56</v>
      </c>
      <c r="C3" s="10"/>
      <c r="D3" s="10"/>
    </row>
    <row r="4" spans="1:4" ht="21" x14ac:dyDescent="0.4">
      <c r="A4" s="11"/>
      <c r="B4" s="36">
        <v>244258</v>
      </c>
      <c r="C4" s="51" t="s">
        <v>26</v>
      </c>
      <c r="D4" s="53" t="s">
        <v>27</v>
      </c>
    </row>
    <row r="5" spans="1:4" ht="21" x14ac:dyDescent="0.4">
      <c r="A5" s="13" t="s">
        <v>28</v>
      </c>
      <c r="B5" s="14" t="s">
        <v>0</v>
      </c>
      <c r="C5" s="52"/>
      <c r="D5" s="54"/>
    </row>
    <row r="6" spans="1:4" ht="18" x14ac:dyDescent="0.35">
      <c r="A6" s="15">
        <v>1</v>
      </c>
      <c r="B6" s="16" t="s">
        <v>29</v>
      </c>
      <c r="C6" s="17">
        <v>33</v>
      </c>
      <c r="D6" s="18">
        <v>11</v>
      </c>
    </row>
    <row r="7" spans="1:4" ht="18" x14ac:dyDescent="0.35">
      <c r="A7" s="15">
        <v>2</v>
      </c>
      <c r="B7" s="16" t="s">
        <v>30</v>
      </c>
      <c r="C7" s="17">
        <v>16</v>
      </c>
      <c r="D7" s="18">
        <v>3</v>
      </c>
    </row>
    <row r="8" spans="1:4" ht="18" x14ac:dyDescent="0.35">
      <c r="A8" s="15">
        <v>3</v>
      </c>
      <c r="B8" s="19" t="s">
        <v>31</v>
      </c>
      <c r="C8" s="17">
        <v>26</v>
      </c>
      <c r="D8" s="18">
        <v>14</v>
      </c>
    </row>
    <row r="9" spans="1:4" ht="18" x14ac:dyDescent="0.35">
      <c r="A9" s="15">
        <v>4</v>
      </c>
      <c r="B9" s="16" t="s">
        <v>32</v>
      </c>
      <c r="C9" s="17">
        <v>14</v>
      </c>
      <c r="D9" s="18">
        <v>12</v>
      </c>
    </row>
    <row r="10" spans="1:4" ht="18" x14ac:dyDescent="0.35">
      <c r="A10" s="15">
        <v>5</v>
      </c>
      <c r="B10" s="16" t="s">
        <v>33</v>
      </c>
      <c r="C10" s="17">
        <v>48</v>
      </c>
      <c r="D10" s="18">
        <v>20</v>
      </c>
    </row>
    <row r="11" spans="1:4" ht="18" x14ac:dyDescent="0.35">
      <c r="A11" s="15">
        <v>6</v>
      </c>
      <c r="B11" s="16" t="s">
        <v>34</v>
      </c>
      <c r="C11" s="17">
        <v>4</v>
      </c>
      <c r="D11" s="18">
        <v>2</v>
      </c>
    </row>
    <row r="12" spans="1:4" ht="18" x14ac:dyDescent="0.35">
      <c r="A12" s="15">
        <v>7</v>
      </c>
      <c r="B12" s="16" t="s">
        <v>35</v>
      </c>
      <c r="C12" s="17">
        <v>13</v>
      </c>
      <c r="D12" s="18">
        <v>5</v>
      </c>
    </row>
    <row r="13" spans="1:4" ht="18" x14ac:dyDescent="0.35">
      <c r="A13" s="15">
        <v>8</v>
      </c>
      <c r="B13" s="16" t="s">
        <v>36</v>
      </c>
      <c r="C13" s="20">
        <v>64</v>
      </c>
      <c r="D13" s="18">
        <v>43</v>
      </c>
    </row>
    <row r="14" spans="1:4" ht="18" x14ac:dyDescent="0.35">
      <c r="A14" s="15">
        <v>9</v>
      </c>
      <c r="B14" s="16" t="s">
        <v>37</v>
      </c>
      <c r="C14" s="17">
        <v>3</v>
      </c>
      <c r="D14" s="18">
        <v>0</v>
      </c>
    </row>
    <row r="15" spans="1:4" ht="18" x14ac:dyDescent="0.35">
      <c r="A15" s="15">
        <v>10</v>
      </c>
      <c r="B15" s="16" t="s">
        <v>38</v>
      </c>
      <c r="C15" s="17">
        <v>0</v>
      </c>
      <c r="D15" s="18">
        <v>0</v>
      </c>
    </row>
    <row r="16" spans="1:4" ht="18" x14ac:dyDescent="0.35">
      <c r="A16" s="15">
        <v>11</v>
      </c>
      <c r="B16" s="16" t="s">
        <v>57</v>
      </c>
      <c r="C16" s="17">
        <v>0</v>
      </c>
      <c r="D16" s="18">
        <v>1</v>
      </c>
    </row>
    <row r="17" spans="1:5" ht="21" x14ac:dyDescent="0.25">
      <c r="A17" s="48" t="s">
        <v>39</v>
      </c>
      <c r="B17" s="49"/>
      <c r="C17" s="21">
        <v>221</v>
      </c>
      <c r="D17" s="22">
        <v>111</v>
      </c>
    </row>
    <row r="18" spans="1:5" ht="23.4" x14ac:dyDescent="0.25">
      <c r="A18" s="50" t="s">
        <v>40</v>
      </c>
      <c r="B18" s="55"/>
      <c r="C18" s="55"/>
      <c r="D18" s="55"/>
      <c r="E18" s="55"/>
    </row>
    <row r="19" spans="1:5" ht="21" x14ac:dyDescent="0.4">
      <c r="A19" s="7"/>
      <c r="B19" s="12" t="s">
        <v>56</v>
      </c>
      <c r="C19" s="10"/>
      <c r="D19" s="10"/>
      <c r="E19" s="10"/>
    </row>
    <row r="20" spans="1:5" ht="21" x14ac:dyDescent="0.4">
      <c r="A20" s="7"/>
      <c r="B20" s="36">
        <v>244258</v>
      </c>
      <c r="C20" s="56" t="s">
        <v>26</v>
      </c>
      <c r="D20" s="57" t="s">
        <v>0</v>
      </c>
      <c r="E20" s="53" t="s">
        <v>27</v>
      </c>
    </row>
    <row r="21" spans="1:5" ht="21" x14ac:dyDescent="0.4">
      <c r="A21" s="23" t="s">
        <v>28</v>
      </c>
      <c r="B21" s="23" t="s">
        <v>0</v>
      </c>
      <c r="C21" s="51"/>
      <c r="D21" s="58"/>
      <c r="E21" s="59"/>
    </row>
    <row r="22" spans="1:5" ht="36" x14ac:dyDescent="0.35">
      <c r="A22" s="15">
        <v>1</v>
      </c>
      <c r="B22" s="24" t="s">
        <v>41</v>
      </c>
      <c r="C22" s="25">
        <v>216</v>
      </c>
      <c r="D22" s="33" t="s">
        <v>42</v>
      </c>
      <c r="E22" s="26">
        <v>101</v>
      </c>
    </row>
    <row r="23" spans="1:5" ht="36" x14ac:dyDescent="0.35">
      <c r="A23" s="15">
        <v>2</v>
      </c>
      <c r="B23" s="24" t="s">
        <v>43</v>
      </c>
      <c r="C23" s="25">
        <v>68</v>
      </c>
      <c r="D23" s="33" t="s">
        <v>53</v>
      </c>
      <c r="E23" s="26">
        <v>112</v>
      </c>
    </row>
    <row r="24" spans="1:5" ht="18" x14ac:dyDescent="0.35">
      <c r="A24" s="15">
        <v>3</v>
      </c>
      <c r="B24" s="24" t="s">
        <v>44</v>
      </c>
      <c r="C24" s="27">
        <v>212</v>
      </c>
      <c r="D24" s="34" t="s">
        <v>45</v>
      </c>
      <c r="E24" s="18">
        <v>34</v>
      </c>
    </row>
    <row r="25" spans="1:5" ht="21" x14ac:dyDescent="0.4">
      <c r="A25" s="15">
        <v>4</v>
      </c>
      <c r="B25" s="24" t="s">
        <v>46</v>
      </c>
      <c r="C25" s="27">
        <v>15</v>
      </c>
      <c r="D25" s="3" t="s">
        <v>54</v>
      </c>
      <c r="E25" s="2">
        <v>12</v>
      </c>
    </row>
    <row r="26" spans="1:5" ht="21" x14ac:dyDescent="0.4">
      <c r="A26" s="15">
        <v>5</v>
      </c>
      <c r="B26" s="24" t="s">
        <v>47</v>
      </c>
      <c r="C26" s="27">
        <v>99</v>
      </c>
      <c r="D26" s="3" t="s">
        <v>58</v>
      </c>
      <c r="E26" s="2">
        <v>8</v>
      </c>
    </row>
    <row r="27" spans="1:5" ht="36" x14ac:dyDescent="0.35">
      <c r="A27" s="15">
        <v>6</v>
      </c>
      <c r="B27" s="24" t="s">
        <v>48</v>
      </c>
      <c r="C27" s="27">
        <v>204</v>
      </c>
      <c r="D27" s="28"/>
      <c r="E27" s="35"/>
    </row>
    <row r="28" spans="1:5" ht="18" x14ac:dyDescent="0.35">
      <c r="A28" s="15">
        <v>7</v>
      </c>
      <c r="B28" s="24" t="s">
        <v>49</v>
      </c>
      <c r="C28" s="27">
        <v>22</v>
      </c>
      <c r="D28" s="28"/>
      <c r="E28" s="29"/>
    </row>
    <row r="29" spans="1:5" ht="18" x14ac:dyDescent="0.35">
      <c r="A29" s="15">
        <v>8</v>
      </c>
      <c r="B29" s="24" t="s">
        <v>50</v>
      </c>
      <c r="C29" s="27">
        <v>212</v>
      </c>
      <c r="D29" s="28"/>
      <c r="E29" s="29"/>
    </row>
    <row r="30" spans="1:5" ht="36" x14ac:dyDescent="0.35">
      <c r="A30" s="15">
        <v>9</v>
      </c>
      <c r="B30" s="24" t="s">
        <v>51</v>
      </c>
      <c r="C30" s="27">
        <v>214</v>
      </c>
      <c r="D30" s="28"/>
      <c r="E30" s="29"/>
    </row>
    <row r="31" spans="1:5" ht="18" x14ac:dyDescent="0.35">
      <c r="A31" s="15">
        <v>10</v>
      </c>
      <c r="B31" s="24" t="s">
        <v>52</v>
      </c>
      <c r="C31" s="27">
        <v>216</v>
      </c>
      <c r="D31" s="28"/>
      <c r="E31" s="29"/>
    </row>
    <row r="32" spans="1:5" ht="21" x14ac:dyDescent="0.35">
      <c r="A32" s="48" t="s">
        <v>39</v>
      </c>
      <c r="B32" s="49"/>
      <c r="C32" s="30">
        <v>1478</v>
      </c>
      <c r="D32" s="31"/>
      <c r="E32" s="32">
        <v>267</v>
      </c>
    </row>
  </sheetData>
  <mergeCells count="9">
    <mergeCell ref="C20:C21"/>
    <mergeCell ref="E20:E21"/>
    <mergeCell ref="A32:B32"/>
    <mergeCell ref="D20:D21"/>
    <mergeCell ref="A1:D1"/>
    <mergeCell ref="C4:C5"/>
    <mergeCell ref="D4:D5"/>
    <mergeCell ref="A17:B17"/>
    <mergeCell ref="A18:E18"/>
  </mergeCells>
  <pageMargins left="0.11811023622047245" right="0.11811023622047245" top="0.15748031496062992" bottom="0.15748031496062992" header="0.31496062992125984" footer="0.31496062992125984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3B80-0F85-4BF3-984E-A19137106080}">
  <dimension ref="A1:K28"/>
  <sheetViews>
    <sheetView topLeftCell="A10" workbookViewId="0">
      <selection activeCell="B12" sqref="B12"/>
    </sheetView>
  </sheetViews>
  <sheetFormatPr defaultRowHeight="21" x14ac:dyDescent="0.4"/>
  <cols>
    <col min="1" max="1" width="36.19921875" style="1" bestFit="1" customWidth="1"/>
    <col min="2" max="2" width="18.8984375" style="1" customWidth="1"/>
    <col min="3" max="3" width="7.59765625" style="1" bestFit="1" customWidth="1"/>
    <col min="4" max="4" width="9.09765625" style="1" customWidth="1"/>
    <col min="5" max="5" width="9.69921875" style="1" customWidth="1"/>
    <col min="6" max="6" width="7.5" style="1" customWidth="1"/>
    <col min="7" max="7" width="10" style="1" customWidth="1"/>
    <col min="8" max="16384" width="8.796875" style="1"/>
  </cols>
  <sheetData>
    <row r="1" spans="1:7" x14ac:dyDescent="0.4">
      <c r="A1" s="42" t="s">
        <v>69</v>
      </c>
      <c r="B1" s="42"/>
      <c r="C1" s="42"/>
      <c r="D1" s="42"/>
      <c r="E1" s="42"/>
      <c r="F1" s="7"/>
      <c r="G1" s="7"/>
    </row>
    <row r="2" spans="1:7" x14ac:dyDescent="0.4">
      <c r="A2" s="42" t="s">
        <v>55</v>
      </c>
      <c r="B2" s="42"/>
      <c r="C2" s="42"/>
      <c r="D2" s="42"/>
      <c r="E2" s="42"/>
      <c r="F2" s="7"/>
      <c r="G2" s="7"/>
    </row>
    <row r="3" spans="1:7" x14ac:dyDescent="0.4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18</v>
      </c>
      <c r="G3" s="8" t="s">
        <v>19</v>
      </c>
    </row>
    <row r="4" spans="1:7" x14ac:dyDescent="0.4">
      <c r="A4" s="3" t="s">
        <v>5</v>
      </c>
      <c r="B4" s="6" t="s">
        <v>65</v>
      </c>
      <c r="C4" s="3"/>
      <c r="D4" s="3"/>
      <c r="E4" s="3"/>
      <c r="F4" s="3"/>
      <c r="G4" s="3"/>
    </row>
    <row r="5" spans="1:7" x14ac:dyDescent="0.4">
      <c r="A5" s="3" t="s">
        <v>6</v>
      </c>
      <c r="B5" s="2" t="s">
        <v>66</v>
      </c>
      <c r="C5" s="3"/>
      <c r="D5" s="3"/>
      <c r="E5" s="3"/>
      <c r="F5" s="3"/>
      <c r="G5" s="3"/>
    </row>
    <row r="6" spans="1:7" x14ac:dyDescent="0.4">
      <c r="A6" s="3" t="s">
        <v>7</v>
      </c>
      <c r="B6" s="5" t="s">
        <v>67</v>
      </c>
      <c r="C6" s="3"/>
      <c r="D6" s="3"/>
      <c r="E6" s="3"/>
      <c r="F6" s="3"/>
      <c r="G6" s="3"/>
    </row>
    <row r="7" spans="1:7" x14ac:dyDescent="0.4">
      <c r="A7" s="3" t="s">
        <v>8</v>
      </c>
      <c r="B7" s="4" t="s">
        <v>68</v>
      </c>
      <c r="C7" s="3"/>
      <c r="D7" s="3"/>
      <c r="E7" s="3"/>
      <c r="F7" s="3"/>
      <c r="G7" s="3"/>
    </row>
    <row r="8" spans="1:7" x14ac:dyDescent="0.4">
      <c r="A8" s="3" t="s">
        <v>9</v>
      </c>
      <c r="B8" s="2">
        <v>0</v>
      </c>
      <c r="C8" s="2"/>
      <c r="D8" s="2"/>
      <c r="E8" s="2"/>
      <c r="F8" s="2"/>
      <c r="G8" s="2"/>
    </row>
    <row r="9" spans="1:7" x14ac:dyDescent="0.4">
      <c r="A9" s="3" t="s">
        <v>10</v>
      </c>
      <c r="B9" s="2">
        <v>4</v>
      </c>
      <c r="C9" s="2">
        <v>3</v>
      </c>
      <c r="D9" s="2">
        <v>0</v>
      </c>
      <c r="E9" s="2">
        <v>0</v>
      </c>
      <c r="F9" s="2">
        <v>0</v>
      </c>
      <c r="G9" s="2">
        <v>3</v>
      </c>
    </row>
    <row r="10" spans="1:7" x14ac:dyDescent="0.4">
      <c r="A10" s="3" t="s">
        <v>15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</row>
    <row r="11" spans="1:7" x14ac:dyDescent="0.4">
      <c r="A11" s="3" t="s">
        <v>20</v>
      </c>
      <c r="B11" s="2">
        <v>113</v>
      </c>
      <c r="C11" s="3"/>
      <c r="D11" s="3"/>
      <c r="E11" s="3"/>
      <c r="F11" s="2"/>
      <c r="G11" s="3"/>
    </row>
    <row r="12" spans="1:7" x14ac:dyDescent="0.4">
      <c r="A12" s="3" t="s">
        <v>11</v>
      </c>
      <c r="B12" s="2">
        <v>6</v>
      </c>
      <c r="C12" s="3"/>
      <c r="D12" s="3"/>
      <c r="E12" s="3"/>
      <c r="F12" s="3"/>
      <c r="G12" s="3"/>
    </row>
    <row r="13" spans="1:7" x14ac:dyDescent="0.4">
      <c r="A13" s="3" t="s">
        <v>22</v>
      </c>
      <c r="B13" s="2">
        <v>0</v>
      </c>
      <c r="C13" s="3"/>
      <c r="D13" s="3"/>
      <c r="E13" s="3"/>
      <c r="F13" s="3"/>
      <c r="G13" s="3"/>
    </row>
    <row r="14" spans="1:7" x14ac:dyDescent="0.4">
      <c r="A14" s="3" t="s">
        <v>17</v>
      </c>
      <c r="B14" s="2">
        <v>4</v>
      </c>
      <c r="C14" s="3"/>
      <c r="D14" s="3"/>
      <c r="E14" s="3"/>
      <c r="F14" s="3"/>
      <c r="G14" s="3"/>
    </row>
    <row r="15" spans="1:7" x14ac:dyDescent="0.4">
      <c r="A15" s="43" t="s">
        <v>12</v>
      </c>
      <c r="B15" s="44"/>
      <c r="C15" s="44"/>
      <c r="D15" s="44"/>
      <c r="E15" s="44"/>
      <c r="F15" s="44"/>
      <c r="G15" s="45"/>
    </row>
    <row r="16" spans="1:7" x14ac:dyDescent="0.4">
      <c r="A16" s="3" t="s">
        <v>14</v>
      </c>
      <c r="B16" s="2">
        <v>448</v>
      </c>
      <c r="C16" s="3"/>
      <c r="D16" s="3"/>
      <c r="E16" s="3"/>
      <c r="F16" s="3"/>
      <c r="G16" s="3"/>
    </row>
    <row r="17" spans="1:11" x14ac:dyDescent="0.4">
      <c r="A17" s="3" t="s">
        <v>16</v>
      </c>
      <c r="B17" s="2">
        <v>185</v>
      </c>
      <c r="C17" s="3"/>
      <c r="D17" s="3"/>
      <c r="E17" s="3"/>
      <c r="F17" s="3"/>
      <c r="G17" s="3"/>
    </row>
    <row r="18" spans="1:11" x14ac:dyDescent="0.4">
      <c r="A18" s="3" t="s">
        <v>64</v>
      </c>
      <c r="B18" s="2">
        <v>118</v>
      </c>
      <c r="C18" s="3"/>
      <c r="D18" s="3"/>
      <c r="E18" s="3"/>
      <c r="F18" s="3"/>
      <c r="G18" s="3"/>
    </row>
    <row r="19" spans="1:11" x14ac:dyDescent="0.4">
      <c r="A19" s="3" t="s">
        <v>23</v>
      </c>
      <c r="B19" s="2">
        <v>71</v>
      </c>
      <c r="C19" s="3"/>
      <c r="D19" s="3"/>
      <c r="E19" s="3"/>
      <c r="F19" s="3"/>
      <c r="G19" s="3"/>
    </row>
    <row r="20" spans="1:11" x14ac:dyDescent="0.4">
      <c r="A20" s="3" t="s">
        <v>24</v>
      </c>
      <c r="B20" s="2">
        <v>56</v>
      </c>
      <c r="C20" s="3"/>
      <c r="D20" s="3"/>
      <c r="E20" s="3"/>
      <c r="F20" s="3"/>
      <c r="G20" s="3"/>
    </row>
    <row r="21" spans="1:11" x14ac:dyDescent="0.4">
      <c r="A21" s="43" t="s">
        <v>13</v>
      </c>
      <c r="B21" s="44"/>
      <c r="C21" s="44"/>
      <c r="D21" s="44"/>
      <c r="E21" s="44"/>
      <c r="F21" s="44"/>
      <c r="G21" s="45"/>
      <c r="K21" s="1" t="s">
        <v>21</v>
      </c>
    </row>
    <row r="22" spans="1:11" x14ac:dyDescent="0.4">
      <c r="A22" s="3" t="s">
        <v>59</v>
      </c>
      <c r="B22" s="2">
        <v>37</v>
      </c>
      <c r="C22" s="3"/>
      <c r="D22" s="3"/>
      <c r="E22" s="3"/>
      <c r="F22" s="3"/>
      <c r="G22" s="3"/>
    </row>
    <row r="23" spans="1:11" x14ac:dyDescent="0.4">
      <c r="A23" s="3" t="s">
        <v>60</v>
      </c>
      <c r="B23" s="2">
        <v>30</v>
      </c>
      <c r="C23" s="3"/>
      <c r="D23" s="3"/>
      <c r="E23" s="3"/>
      <c r="F23" s="3"/>
      <c r="G23" s="3"/>
    </row>
    <row r="24" spans="1:11" x14ac:dyDescent="0.4">
      <c r="A24" s="3" t="s">
        <v>61</v>
      </c>
      <c r="B24" s="2">
        <v>17</v>
      </c>
      <c r="C24" s="3"/>
      <c r="D24" s="3"/>
      <c r="E24" s="3"/>
      <c r="F24" s="3"/>
      <c r="G24" s="3"/>
    </row>
    <row r="25" spans="1:11" x14ac:dyDescent="0.4">
      <c r="A25" s="3" t="s">
        <v>62</v>
      </c>
      <c r="B25" s="2">
        <v>13</v>
      </c>
      <c r="C25" s="3"/>
      <c r="D25" s="3"/>
      <c r="E25" s="3"/>
      <c r="F25" s="3"/>
      <c r="G25" s="3"/>
    </row>
    <row r="26" spans="1:11" x14ac:dyDescent="0.4">
      <c r="A26" s="3" t="s">
        <v>63</v>
      </c>
      <c r="B26" s="2">
        <v>12</v>
      </c>
      <c r="C26" s="3"/>
      <c r="D26" s="3"/>
      <c r="E26" s="3"/>
      <c r="F26" s="3"/>
      <c r="G26" s="3"/>
    </row>
    <row r="27" spans="1:11" x14ac:dyDescent="0.4">
      <c r="A27" s="46"/>
      <c r="B27" s="46"/>
      <c r="C27" s="46"/>
      <c r="D27" s="46"/>
      <c r="E27" s="46"/>
    </row>
    <row r="28" spans="1:11" x14ac:dyDescent="0.4">
      <c r="A28" s="47"/>
      <c r="B28" s="47"/>
      <c r="C28" s="47"/>
      <c r="D28" s="47"/>
      <c r="E28" s="47"/>
    </row>
  </sheetData>
  <mergeCells count="6">
    <mergeCell ref="A28:E28"/>
    <mergeCell ref="A1:E1"/>
    <mergeCell ref="A2:E2"/>
    <mergeCell ref="A15:G15"/>
    <mergeCell ref="A21:G21"/>
    <mergeCell ref="A27:E27"/>
  </mergeCells>
  <pageMargins left="0.25" right="0.25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แผนไทย-กายภาพ เม.ย.69</vt:lpstr>
      <vt:lpstr>เม.ย.69</vt:lpstr>
      <vt:lpstr>แผนไทย-กายภาพ มี.ค.69 </vt:lpstr>
      <vt:lpstr>มี.ค.69</vt:lpstr>
      <vt:lpstr>แผนไทย-กายภาพ ก.พ.69</vt:lpstr>
      <vt:lpstr>ก.พ.69</vt:lpstr>
      <vt:lpstr>แผนไทย-กายภาพ ม.ค.69</vt:lpstr>
      <vt:lpstr>ม.ค.69</vt:lpstr>
      <vt:lpstr>แผนไทย-กายภาพ ธ.ค.68</vt:lpstr>
      <vt:lpstr>ธ.ค.68</vt:lpstr>
      <vt:lpstr>แผนไทย-กายภาพ พ.ย.68 </vt:lpstr>
      <vt:lpstr>พ.ย.68</vt:lpstr>
      <vt:lpstr>แผนไทย-กายภาพ ต.ค.68</vt:lpstr>
      <vt:lpstr>ต.ค.68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HP-Labtop</dc:creator>
  <cp:lastModifiedBy>Laptop HP</cp:lastModifiedBy>
  <cp:lastPrinted>2026-03-12T02:23:08Z</cp:lastPrinted>
  <dcterms:created xsi:type="dcterms:W3CDTF">2023-12-19T04:23:20Z</dcterms:created>
  <dcterms:modified xsi:type="dcterms:W3CDTF">2026-05-11T04:48:10Z</dcterms:modified>
</cp:coreProperties>
</file>